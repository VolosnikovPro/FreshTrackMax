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ход" sheetId="1" state="visible" r:id="rId3"/>
    <sheet name="Экспорт_Бот" sheetId="2" state="hidden" r:id="rId4"/>
  </sheets>
  <definedNames>
    <definedName function="false" hidden="true" localSheetId="0" name="_xlnm._FilterDatabase" vbProcedure="false">Расход!$A$6:$AT$6</definedName>
    <definedName function="false" hidden="false" name="ИменованныйДиапазон1" vbProcedure="false">Расход!$J$3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<sst xmlns="http://schemas.openxmlformats.org/spreadsheetml/2006/main" count="353" uniqueCount="189">
  <si>
    <t xml:space="preserve">Явочная НВПТ</t>
  </si>
  <si>
    <t xml:space="preserve">Себестоимость</t>
  </si>
  <si>
    <t xml:space="preserve">остаток на 03.05.2026</t>
  </si>
  <si>
    <t xml:space="preserve">остаток на 10.05.26</t>
  </si>
  <si>
    <t xml:space="preserve">остаток на 17.05.26</t>
  </si>
  <si>
    <t xml:space="preserve">остаток на 26.04.26</t>
  </si>
  <si>
    <t xml:space="preserve">Остаток на 31.05.2026</t>
  </si>
  <si>
    <t xml:space="preserve">Сумма перемещения </t>
  </si>
  <si>
    <t xml:space="preserve">Количество человек на участке без Партнеров Красноярск</t>
  </si>
  <si>
    <t xml:space="preserve">Код</t>
  </si>
  <si>
    <t xml:space="preserve">Товар</t>
  </si>
  <si>
    <t xml:space="preserve">Ед. изм.</t>
  </si>
  <si>
    <t xml:space="preserve">Цена</t>
  </si>
  <si>
    <t xml:space="preserve">Ананасы консервированные</t>
  </si>
  <si>
    <t xml:space="preserve">Кг</t>
  </si>
  <si>
    <t xml:space="preserve">Айран</t>
  </si>
  <si>
    <t xml:space="preserve">Литр</t>
  </si>
  <si>
    <t xml:space="preserve">Ванилин</t>
  </si>
  <si>
    <t xml:space="preserve">Вилка однораз</t>
  </si>
  <si>
    <t xml:space="preserve">Шт</t>
  </si>
  <si>
    <t xml:space="preserve">Ветчина </t>
  </si>
  <si>
    <t xml:space="preserve">Вода питьевая 19 л</t>
  </si>
  <si>
    <t xml:space="preserve">Глазурь кондитерская</t>
  </si>
  <si>
    <t xml:space="preserve">кг</t>
  </si>
  <si>
    <t xml:space="preserve">Горчица порошок</t>
  </si>
  <si>
    <t xml:space="preserve">Грибы грузди соленые на банкет</t>
  </si>
  <si>
    <t xml:space="preserve">Грибы маринованные</t>
  </si>
  <si>
    <t xml:space="preserve">Грибы Шампиньоны консервированные</t>
  </si>
  <si>
    <t xml:space="preserve">Дрожжи сухие </t>
  </si>
  <si>
    <t xml:space="preserve">Желатин</t>
  </si>
  <si>
    <t xml:space="preserve">Зелень свежая</t>
  </si>
  <si>
    <t xml:space="preserve">Йогурт</t>
  </si>
  <si>
    <t xml:space="preserve">Какао</t>
  </si>
  <si>
    <t xml:space="preserve">Кальмар тушка с/м</t>
  </si>
  <si>
    <t xml:space="preserve">Капуста морская заморозка</t>
  </si>
  <si>
    <t xml:space="preserve">Кетчуп</t>
  </si>
  <si>
    <t xml:space="preserve">Кефир</t>
  </si>
  <si>
    <t xml:space="preserve">Кисель</t>
  </si>
  <si>
    <t xml:space="preserve">Кисель с пектином 20-25гр</t>
  </si>
  <si>
    <t xml:space="preserve">Кислота лимонная</t>
  </si>
  <si>
    <t xml:space="preserve">Колбаса вареная</t>
  </si>
  <si>
    <t xml:space="preserve">Колбаса п/к</t>
  </si>
  <si>
    <t xml:space="preserve">Кондитерские изделия для выпечки</t>
  </si>
  <si>
    <t xml:space="preserve">Конс Горошек консервированный</t>
  </si>
  <si>
    <t xml:space="preserve">Конс Икра кабачковая</t>
  </si>
  <si>
    <t xml:space="preserve">Конс Имбирь маринованный</t>
  </si>
  <si>
    <t xml:space="preserve">Конс Капуста квашенная покупная</t>
  </si>
  <si>
    <t xml:space="preserve">Конс Кукуруза консервированная</t>
  </si>
  <si>
    <t xml:space="preserve">Конс Маслины, оливки консервированные </t>
  </si>
  <si>
    <t xml:space="preserve">Конс Огурцы консервированные</t>
  </si>
  <si>
    <t xml:space="preserve">Конс Перец Халапеньо консервированный</t>
  </si>
  <si>
    <t xml:space="preserve">Конс Персики в сиропе</t>
  </si>
  <si>
    <t xml:space="preserve">Конс Помидоры консервированные в с/соку</t>
  </si>
  <si>
    <t xml:space="preserve">Конс Помидоры маринованные </t>
  </si>
  <si>
    <t xml:space="preserve">Конс Сайра/Сардина консервированная</t>
  </si>
  <si>
    <t xml:space="preserve">Конс Фасоль консервированая</t>
  </si>
  <si>
    <t xml:space="preserve">Конс Говядина тушенная в/с</t>
  </si>
  <si>
    <t xml:space="preserve">Контейнер круглый с крышкой одноразовый 485мл</t>
  </si>
  <si>
    <t xml:space="preserve">Контейнер одноразовый 200-250мл</t>
  </si>
  <si>
    <t xml:space="preserve">Контейнер одноразовый 500мл</t>
  </si>
  <si>
    <t xml:space="preserve">Кофе б/растворимый</t>
  </si>
  <si>
    <t xml:space="preserve">Краситель пищевой</t>
  </si>
  <si>
    <t xml:space="preserve">Крабовые палочки</t>
  </si>
  <si>
    <t xml:space="preserve">Крупа булгур</t>
  </si>
  <si>
    <t xml:space="preserve">Крупа горох</t>
  </si>
  <si>
    <t xml:space="preserve">Крупа гречка</t>
  </si>
  <si>
    <t xml:space="preserve">Крупа кукурузная</t>
  </si>
  <si>
    <t xml:space="preserve">Крупа кус-кус</t>
  </si>
  <si>
    <t xml:space="preserve">Крупа манная</t>
  </si>
  <si>
    <t xml:space="preserve">Крупа перловая</t>
  </si>
  <si>
    <t xml:space="preserve">Крупа пшеничная</t>
  </si>
  <si>
    <t xml:space="preserve">Крупа пшено</t>
  </si>
  <si>
    <t xml:space="preserve">Крупа рис</t>
  </si>
  <si>
    <t xml:space="preserve">Крупа фасоль</t>
  </si>
  <si>
    <t xml:space="preserve">Крупа хлопья овсянные Геркулес</t>
  </si>
  <si>
    <t xml:space="preserve">Крупа Чечевица</t>
  </si>
  <si>
    <t xml:space="preserve">Крупа ячневая</t>
  </si>
  <si>
    <t xml:space="preserve">Кунжут</t>
  </si>
  <si>
    <t xml:space="preserve">Ложка однораз столовая</t>
  </si>
  <si>
    <t xml:space="preserve">Майонез</t>
  </si>
  <si>
    <t xml:space="preserve">Мак</t>
  </si>
  <si>
    <t xml:space="preserve">Макаронные изделия</t>
  </si>
  <si>
    <t xml:space="preserve">Маргарин</t>
  </si>
  <si>
    <t xml:space="preserve">Масло растительное</t>
  </si>
  <si>
    <t xml:space="preserve">Масло сливочное</t>
  </si>
  <si>
    <t xml:space="preserve">Масло сливочное ГОСТ </t>
  </si>
  <si>
    <t xml:space="preserve">Мед </t>
  </si>
  <si>
    <t xml:space="preserve">Молоко</t>
  </si>
  <si>
    <t xml:space="preserve">Молоко сгущенное</t>
  </si>
  <si>
    <t xml:space="preserve">Молоко со вкусом Топтыжка 3,2%</t>
  </si>
  <si>
    <t xml:space="preserve">Молоко сгущенное варенное</t>
  </si>
  <si>
    <t xml:space="preserve">Мука пшеничная 1с</t>
  </si>
  <si>
    <t xml:space="preserve">Мука пшеничная в/с</t>
  </si>
  <si>
    <t xml:space="preserve">Мука ржаная</t>
  </si>
  <si>
    <t xml:space="preserve">Мясо говядина б/к</t>
  </si>
  <si>
    <t xml:space="preserve">Мясо желудки куриные</t>
  </si>
  <si>
    <t xml:space="preserve">Крылья куриные с/м</t>
  </si>
  <si>
    <t xml:space="preserve">Мясо куриный окорочок с/м</t>
  </si>
  <si>
    <t xml:space="preserve">Мясо курица целиком с/м</t>
  </si>
  <si>
    <t xml:space="preserve">Мясо печень говяжья</t>
  </si>
  <si>
    <t xml:space="preserve">Мясо печень куриная</t>
  </si>
  <si>
    <t xml:space="preserve">Мясо свинина б/к карбонат, вырезка, шея</t>
  </si>
  <si>
    <t xml:space="preserve">Мясо свинина б/к окорок, лопатка</t>
  </si>
  <si>
    <t xml:space="preserve">Мясо сердце куриное </t>
  </si>
  <si>
    <t xml:space="preserve">Мясо филе куриное </t>
  </si>
  <si>
    <t xml:space="preserve">Мясо филе окорочка б/кости с/м</t>
  </si>
  <si>
    <t xml:space="preserve">Язык говяжий</t>
  </si>
  <si>
    <t xml:space="preserve">Овощи Баклажан резаный с/м</t>
  </si>
  <si>
    <t xml:space="preserve">Овощи Кабачки кубик с/м</t>
  </si>
  <si>
    <t xml:space="preserve">Овощи Капуста б/к свежая</t>
  </si>
  <si>
    <t xml:space="preserve">Овощи Капуста брокколи с/м</t>
  </si>
  <si>
    <t xml:space="preserve">Овощи капуста брюсельская с/м</t>
  </si>
  <si>
    <t xml:space="preserve">Овощи капуста пекинская свежая</t>
  </si>
  <si>
    <t xml:space="preserve">Овощи Капуста цветная с/м</t>
  </si>
  <si>
    <t xml:space="preserve">Овощи Картофель свежий</t>
  </si>
  <si>
    <t xml:space="preserve">Овощи Лук репчатый свежий</t>
  </si>
  <si>
    <t xml:space="preserve">Овощи Морковь свежая</t>
  </si>
  <si>
    <t xml:space="preserve">Овощи Огурцы свежие</t>
  </si>
  <si>
    <t xml:space="preserve">Овощи Перец болгарский</t>
  </si>
  <si>
    <t xml:space="preserve">Овощи Перец болгарский с/м</t>
  </si>
  <si>
    <t xml:space="preserve">Овощи Редька</t>
  </si>
  <si>
    <t xml:space="preserve">Овощи Помидоры свежие</t>
  </si>
  <si>
    <t xml:space="preserve">Овощи Свекла свежая</t>
  </si>
  <si>
    <t xml:space="preserve">Овощи Тыква кубик с/м</t>
  </si>
  <si>
    <t xml:space="preserve">Овощи Фасоль стручковая с/м</t>
  </si>
  <si>
    <t xml:space="preserve">Овощи Чеснок свежий</t>
  </si>
  <si>
    <t xml:space="preserve">Овощи Чеснок сушеный хлопья</t>
  </si>
  <si>
    <t xml:space="preserve">Орех Арахис очищ</t>
  </si>
  <si>
    <t xml:space="preserve">Орех Грецкий</t>
  </si>
  <si>
    <t xml:space="preserve">Пельмени покупные</t>
  </si>
  <si>
    <t xml:space="preserve">Повидло</t>
  </si>
  <si>
    <t xml:space="preserve">Размешиватель 12см</t>
  </si>
  <si>
    <t xml:space="preserve">Разрыхлитель</t>
  </si>
  <si>
    <t xml:space="preserve">Рыба горбуша потрошеная с/г с/м</t>
  </si>
  <si>
    <t xml:space="preserve">Рыба камбала непотрошеная с/г с/м</t>
  </si>
  <si>
    <t xml:space="preserve">Рыба минтай потрошеная б/г с/м</t>
  </si>
  <si>
    <t xml:space="preserve">Рыба сельдь  соленая</t>
  </si>
  <si>
    <t xml:space="preserve">Рыба скумбрия с/м</t>
  </si>
  <si>
    <t xml:space="preserve">Ряженка</t>
  </si>
  <si>
    <t xml:space="preserve">Сардельки </t>
  </si>
  <si>
    <t xml:space="preserve">Сахар песок</t>
  </si>
  <si>
    <t xml:space="preserve">Сахарная пудра</t>
  </si>
  <si>
    <t xml:space="preserve">Сливки растительные</t>
  </si>
  <si>
    <t xml:space="preserve">Сливки сухие</t>
  </si>
  <si>
    <t xml:space="preserve">Сметана</t>
  </si>
  <si>
    <t xml:space="preserve">Снежок</t>
  </si>
  <si>
    <t xml:space="preserve">Сода пищевая</t>
  </si>
  <si>
    <t xml:space="preserve">Сок с пектином 0,2л</t>
  </si>
  <si>
    <t xml:space="preserve">Солод</t>
  </si>
  <si>
    <t xml:space="preserve">Соль </t>
  </si>
  <si>
    <t xml:space="preserve">Сосиски</t>
  </si>
  <si>
    <t xml:space="preserve">Соус соевый </t>
  </si>
  <si>
    <t xml:space="preserve">Спаржа</t>
  </si>
  <si>
    <t xml:space="preserve">Специи в асс</t>
  </si>
  <si>
    <t xml:space="preserve">Стакан однораз 200гр</t>
  </si>
  <si>
    <t xml:space="preserve">Сухофрукты</t>
  </si>
  <si>
    <t xml:space="preserve">Сухофрукты Изюм</t>
  </si>
  <si>
    <t xml:space="preserve">Сухофрукты Курага</t>
  </si>
  <si>
    <t xml:space="preserve">Сухофрукты Чернослив</t>
  </si>
  <si>
    <t xml:space="preserve">Сыр плавленный копченый</t>
  </si>
  <si>
    <t xml:space="preserve">Сыр сливочный плавленый </t>
  </si>
  <si>
    <t xml:space="preserve">Сыр твердый</t>
  </si>
  <si>
    <t xml:space="preserve">Тарелка однораз</t>
  </si>
  <si>
    <t xml:space="preserve">Тарелка однораз 500мл</t>
  </si>
  <si>
    <t xml:space="preserve">Творог</t>
  </si>
  <si>
    <t xml:space="preserve">Тесто слоеное</t>
  </si>
  <si>
    <t xml:space="preserve">Томатная паста</t>
  </si>
  <si>
    <t xml:space="preserve">Уксус 70%</t>
  </si>
  <si>
    <t xml:space="preserve">Фрукты Апельсины</t>
  </si>
  <si>
    <t xml:space="preserve">Фрукты Груша</t>
  </si>
  <si>
    <t xml:space="preserve">Фрукты Лимон свежий</t>
  </si>
  <si>
    <t xml:space="preserve">фрукты мандарины</t>
  </si>
  <si>
    <t xml:space="preserve">Фрукты Яблоки </t>
  </si>
  <si>
    <t xml:space="preserve">Фрукты Бананы</t>
  </si>
  <si>
    <t xml:space="preserve">Фунчоза</t>
  </si>
  <si>
    <t xml:space="preserve">Хинкали покупные</t>
  </si>
  <si>
    <t xml:space="preserve">Чай Гринфилд Ахмад Тесс пакетированный, шт (ПП)</t>
  </si>
  <si>
    <t xml:space="preserve">Чай каркаде</t>
  </si>
  <si>
    <t xml:space="preserve">Чай черный, зеленый для ПП </t>
  </si>
  <si>
    <t xml:space="preserve">Чашка кофейная 200мл</t>
  </si>
  <si>
    <t xml:space="preserve">Ягода Вишня с/м</t>
  </si>
  <si>
    <t xml:space="preserve">Ягода Клюква с/м</t>
  </si>
  <si>
    <t xml:space="preserve">Ягода Облепиха с/м </t>
  </si>
  <si>
    <t xml:space="preserve">Ягода Смородина с/м</t>
  </si>
  <si>
    <t xml:space="preserve">Ягода клубника с/м</t>
  </si>
  <si>
    <t xml:space="preserve">Ягода малина с/м</t>
  </si>
  <si>
    <t xml:space="preserve">Яйцо куриное</t>
  </si>
  <si>
    <t xml:space="preserve">чука</t>
  </si>
  <si>
    <t xml:space="preserve">катык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</si>
</sst>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₽&quot;"/>
    <numFmt numFmtId="166" formatCode="#,##0.00"/>
    <numFmt numFmtId="167" formatCode="0.00"/>
    <numFmt numFmtId="168" formatCode="dd\.mm\.yyyy"/>
  </numFmts>
  <fonts count="11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Tahoma"/>
      <family val="0"/>
      <charset val="1"/>
    </font>
    <font>
      <sz val="11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8"/>
      <color theme="1"/>
      <name val="Tahoma"/>
      <family val="0"/>
      <charset val="1"/>
    </font>
    <font>
      <sz val="9"/>
      <color theme="1"/>
      <name val="Tahoma"/>
      <family val="0"/>
      <charset val="1"/>
    </font>
    <font>
      <sz val="10"/>
      <color rgb="FF000000"/>
      <name val="Tahoma"/>
      <family val="0"/>
      <charset val="1"/>
    </font>
    <font>
      <sz val="11"/>
      <color theme="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8EAADB"/>
        <bgColor rgb="FF9FC5E8"/>
      </patternFill>
    </fill>
    <fill>
      <patternFill patternType="solid">
        <fgColor rgb="FFDEEAF6"/>
        <bgColor rgb="FFD8D8D8"/>
      </patternFill>
    </fill>
    <fill>
      <patternFill patternType="solid">
        <fgColor rgb="FFF7CAAC"/>
        <bgColor rgb="FFD8D8D8"/>
      </patternFill>
    </fill>
    <fill>
      <patternFill patternType="solid">
        <fgColor rgb="FFFEF2CB"/>
        <bgColor rgb="FFFFFF99"/>
      </patternFill>
    </fill>
    <fill>
      <patternFill patternType="solid">
        <fgColor rgb="FFC5E0B3"/>
        <bgColor rgb="FFD8D8D8"/>
      </patternFill>
    </fill>
    <fill>
      <patternFill patternType="solid">
        <fgColor rgb="FFD8D8D8"/>
        <bgColor rgb="FFC5E0B3"/>
      </patternFill>
    </fill>
    <fill>
      <patternFill patternType="solid">
        <fgColor rgb="FFBFBFBF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EF2CB"/>
      </patternFill>
    </fill>
    <fill>
      <patternFill patternType="solid">
        <fgColor rgb="FF9FC5E8"/>
        <bgColor rgb="FFBFBFBF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1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1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1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1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1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1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12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10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8D8D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EAADB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EF2CB"/>
      <rgbColor rgb="FFDEEAF6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FF99"/>
      <rgbColor rgb="FF9FC5E8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149" activePane="bottomRight" state="frozen"/>
      <selection pane="topLeft" activeCell="A1" activeCellId="0" sqref="A1"/>
      <selection pane="topRight" activeCell="E1" activeCellId="0" sqref="E1"/>
      <selection pane="bottomLeft" activeCell="A149" activeCellId="0" sqref="A149"/>
      <selection pane="bottomRight" activeCell="C167" activeCellId="0" sqref="C16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.75"/>
    <col collapsed="false" customWidth="true" hidden="false" outlineLevel="0" max="2" min="2" style="0" width="29.25"/>
    <col collapsed="false" customWidth="true" hidden="false" outlineLevel="0" max="3" min="3" style="0" width="4.75"/>
    <col collapsed="false" customWidth="true" hidden="false" outlineLevel="0" max="4" min="4" style="0" width="6.5"/>
    <col collapsed="false" customWidth="true" hidden="false" outlineLevel="0" max="5" min="5" style="0" width="7.13"/>
    <col collapsed="false" customWidth="true" hidden="false" outlineLevel="0" max="6" min="6" style="0" width="6.5"/>
    <col collapsed="false" customWidth="true" hidden="false" outlineLevel="0" max="7" min="7" style="0" width="6.75"/>
    <col collapsed="false" customWidth="true" hidden="false" outlineLevel="0" max="8" min="8" style="0" width="6.13"/>
    <col collapsed="false" customWidth="true" hidden="false" outlineLevel="0" max="9" min="9" style="0" width="0.38"/>
    <col collapsed="false" customWidth="true" hidden="false" outlineLevel="0" max="10" min="10" style="0" width="8.88"/>
    <col collapsed="false" customWidth="true" hidden="false" outlineLevel="0" max="11" min="11" style="0" width="6.25"/>
    <col collapsed="false" customWidth="true" hidden="false" outlineLevel="0" max="12" min="12" style="0" width="5.63"/>
    <col collapsed="false" customWidth="true" hidden="false" outlineLevel="0" max="13" min="13" style="0" width="6.25"/>
    <col collapsed="false" customWidth="true" hidden="false" outlineLevel="0" max="16" min="14" style="0" width="7.13"/>
    <col collapsed="false" customWidth="true" hidden="false" outlineLevel="0" max="17" min="17" style="0" width="4.5"/>
    <col collapsed="false" customWidth="true" hidden="false" outlineLevel="0" max="18" min="18" style="0" width="1.88"/>
    <col collapsed="false" customWidth="true" hidden="false" outlineLevel="0" max="19" min="19" style="0" width="7.88"/>
    <col collapsed="false" customWidth="true" hidden="false" outlineLevel="0" max="20" min="20" style="0" width="7.38"/>
    <col collapsed="false" customWidth="true" hidden="false" outlineLevel="0" max="21" min="21" style="0" width="6.25"/>
    <col collapsed="false" customWidth="true" hidden="false" outlineLevel="0" max="23" min="22" style="0" width="6.88"/>
    <col collapsed="false" customWidth="true" hidden="false" outlineLevel="0" max="24" min="24" style="0" width="7"/>
    <col collapsed="false" customWidth="true" hidden="false" outlineLevel="0" max="25" min="25" style="0" width="5.63"/>
    <col collapsed="false" customWidth="true" hidden="false" outlineLevel="0" max="26" min="26" style="0" width="5.88"/>
    <col collapsed="false" customWidth="true" hidden="false" outlineLevel="0" max="27" min="27" style="0" width="3.13"/>
    <col collapsed="false" customWidth="true" hidden="false" outlineLevel="0" max="28" min="28" style="0" width="7.88"/>
    <col collapsed="false" customWidth="true" hidden="false" outlineLevel="0" max="32" min="29" style="0" width="6.13"/>
    <col collapsed="false" customWidth="true" hidden="false" outlineLevel="0" max="33" min="33" style="0" width="6.25"/>
    <col collapsed="false" customWidth="true" hidden="false" outlineLevel="0" max="35" min="34" style="0" width="6.13"/>
    <col collapsed="false" customWidth="true" hidden="false" outlineLevel="0" max="36" min="36" style="0" width="2.76"/>
    <col collapsed="false" customWidth="true" hidden="false" outlineLevel="0" max="37" min="37" style="0" width="6.13"/>
    <col collapsed="false" customWidth="true" hidden="false" outlineLevel="0" max="39" min="38" style="0" width="6.25"/>
    <col collapsed="false" customWidth="true" hidden="false" outlineLevel="0" max="40" min="40" style="0" width="6"/>
    <col collapsed="false" customWidth="true" hidden="false" outlineLevel="0" max="41" min="41" style="0" width="6.25"/>
    <col collapsed="false" customWidth="true" hidden="false" outlineLevel="0" max="43" min="42" style="0" width="7.63"/>
    <col collapsed="false" customWidth="true" hidden="false" outlineLevel="0" max="44" min="44" style="0" width="8.25"/>
    <col collapsed="false" customWidth="true" hidden="false" outlineLevel="0" max="45" min="45" style="0" width="3.38"/>
    <col collapsed="false" customWidth="true" hidden="false" outlineLevel="0" max="46" min="46" style="0" width="9.13"/>
  </cols>
  <sheetData>
    <row r="1" customFormat="false" ht="13.5" hidden="false" customHeight="true" outlineLevel="0" collapsed="false">
      <c r="A1" s="1"/>
      <c r="B1" s="1"/>
      <c r="C1" s="1"/>
      <c r="D1" s="1"/>
      <c r="E1" s="2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customFormat="false" ht="13.5" hidden="false" customHeight="true" outlineLevel="0" collapsed="false">
      <c r="A2" s="4" t="s">
        <v>1</v>
      </c>
      <c r="B2" s="4"/>
      <c r="C2" s="4"/>
      <c r="D2" s="4"/>
      <c r="E2" s="5"/>
      <c r="F2" s="6" t="n">
        <f aca="false">F3/F4</f>
        <v>652.134815277933</v>
      </c>
      <c r="G2" s="6" t="n">
        <f aca="false">G3/G4</f>
        <v>353.511137164219</v>
      </c>
      <c r="H2" s="6" t="n">
        <f aca="false">H3/H4</f>
        <v>431.084397902651</v>
      </c>
      <c r="I2" s="7"/>
      <c r="J2" s="8" t="s">
        <v>2</v>
      </c>
      <c r="K2" s="9" t="n">
        <f aca="false">K3/K4</f>
        <v>388.412559674495</v>
      </c>
      <c r="L2" s="9" t="n">
        <f aca="false">L3/L4</f>
        <v>447.303429049794</v>
      </c>
      <c r="M2" s="9" t="n">
        <f aca="false">M3/M4</f>
        <v>702.214406881975</v>
      </c>
      <c r="N2" s="9" t="n">
        <f aca="false">N3/N4</f>
        <v>445.600154169011</v>
      </c>
      <c r="O2" s="9" t="n">
        <f aca="false">O3/O4</f>
        <v>10724.1963071168</v>
      </c>
      <c r="P2" s="9" t="n">
        <f aca="false">P3/P4</f>
        <v>37.5030777952756</v>
      </c>
      <c r="Q2" s="9" t="n">
        <f aca="false">Q3/Q4</f>
        <v>59.55310859375</v>
      </c>
      <c r="R2" s="7"/>
      <c r="S2" s="10" t="s">
        <v>3</v>
      </c>
      <c r="T2" s="9" t="n">
        <f aca="false">T3/T4</f>
        <v>955.460401601967</v>
      </c>
      <c r="U2" s="9" t="n">
        <f aca="false">U3/U4</f>
        <v>245.791646382264</v>
      </c>
      <c r="V2" s="11" t="n">
        <f aca="false">V3/V4</f>
        <v>586.897502016722</v>
      </c>
      <c r="W2" s="6" t="n">
        <f aca="false">W3/W4</f>
        <v>340.275831691384</v>
      </c>
      <c r="X2" s="9" t="n">
        <f aca="false">X3/X4</f>
        <v>429.594341566441</v>
      </c>
      <c r="Y2" s="9" t="n">
        <f aca="false">Y3/Y4</f>
        <v>347.001344988575</v>
      </c>
      <c r="Z2" s="9" t="n">
        <f aca="false">Z3/Z4</f>
        <v>441.752921679747</v>
      </c>
      <c r="AA2" s="7"/>
      <c r="AB2" s="10" t="s">
        <v>4</v>
      </c>
      <c r="AC2" s="9" t="n">
        <f aca="false">AC3/AC4</f>
        <v>477.40069294895</v>
      </c>
      <c r="AD2" s="9" t="n">
        <f aca="false">AD3/AD4</f>
        <v>87801.0322546704</v>
      </c>
      <c r="AE2" s="9" t="n">
        <f aca="false">AE3/AE4</f>
        <v>127956.15431735</v>
      </c>
      <c r="AF2" s="9" t="n">
        <f aca="false">AF3/AF4</f>
        <v>0</v>
      </c>
      <c r="AG2" s="9" t="n">
        <f aca="false">AG3/AG4</f>
        <v>0</v>
      </c>
      <c r="AH2" s="9" t="n">
        <f aca="false">AH3/AH4</f>
        <v>0</v>
      </c>
      <c r="AI2" s="9" t="n">
        <f aca="false">AI3/AI4</f>
        <v>0</v>
      </c>
      <c r="AJ2" s="7"/>
      <c r="AK2" s="12" t="s">
        <v>5</v>
      </c>
      <c r="AL2" s="9" t="n">
        <f aca="false">AL3/AL4</f>
        <v>0</v>
      </c>
      <c r="AM2" s="9" t="n">
        <f aca="false">AM3/AM4</f>
        <v>0</v>
      </c>
      <c r="AN2" s="9" t="n">
        <f aca="false">AN3/AN4</f>
        <v>0</v>
      </c>
      <c r="AO2" s="9" t="n">
        <f aca="false">AO3/AO4</f>
        <v>0</v>
      </c>
      <c r="AP2" s="9" t="n">
        <f aca="false">AP3/AP4</f>
        <v>0</v>
      </c>
      <c r="AQ2" s="9" t="n">
        <f aca="false">AQ3/AQ4</f>
        <v>0</v>
      </c>
      <c r="AR2" s="9" t="n">
        <f aca="false">AR3/AR4</f>
        <v>0</v>
      </c>
      <c r="AS2" s="13"/>
      <c r="AT2" s="13" t="s">
        <v>6</v>
      </c>
    </row>
    <row r="3" customFormat="false" ht="13.5" hidden="false" customHeight="true" outlineLevel="0" collapsed="false">
      <c r="A3" s="14" t="s">
        <v>7</v>
      </c>
      <c r="B3" s="14"/>
      <c r="C3" s="14"/>
      <c r="D3" s="14"/>
      <c r="E3" s="15"/>
      <c r="F3" s="16" t="n">
        <f aca="false" t="array" ref="F3:F3">SUM(F7:F243*D7:D243)</f>
        <v>84125.3911708534</v>
      </c>
      <c r="G3" s="17" t="n">
        <f aca="false" t="array" ref="G3:G3">SUM(G7:G243*D7:D243)</f>
        <v>43835.3810083631</v>
      </c>
      <c r="H3" s="17" t="n">
        <f aca="false" t="array" ref="H3:H3">SUM(H7:H228*D7:D228)</f>
        <v>49143.6213609022</v>
      </c>
      <c r="I3" s="18"/>
      <c r="J3" s="8"/>
      <c r="K3" s="17" t="n">
        <f aca="false" t="array" ref="K3:K3">SUM(K7:K243*D7:D243)</f>
        <v>49716.8076383353</v>
      </c>
      <c r="L3" s="17" t="n">
        <f aca="false" t="array" ref="L3:L3">SUM(L7:L243*D7:D243)</f>
        <v>58596.7492055231</v>
      </c>
      <c r="M3" s="17" t="n">
        <f aca="false" t="array" ref="M3:M3">SUM(M7:M229*D7:D229)</f>
        <v>93394.5161153027</v>
      </c>
      <c r="N3" s="17" t="n">
        <f aca="false" t="array" ref="N3:N3">SUM(N7:N222*D7:D222)</f>
        <v>59710.4206586475</v>
      </c>
      <c r="O3" s="17" t="n">
        <f aca="false" t="array" ref="O3:O3">SUM(O7:O222*E7:E222)</f>
        <v>1469214.894075</v>
      </c>
      <c r="P3" s="17" t="n">
        <f aca="false" t="array" ref="P3:P3">SUM(P7:P222*F7:F222)</f>
        <v>4762.89088</v>
      </c>
      <c r="Q3" s="17" t="n">
        <f aca="false" t="array" ref="Q3:Q3">SUM(Q7:Q222*G7:G222)</f>
        <v>7622.7979</v>
      </c>
      <c r="R3" s="18"/>
      <c r="S3" s="10"/>
      <c r="T3" s="17" t="n">
        <f aca="false" t="array" ref="T3:T3">SUM(T7:T231*D7:D231)</f>
        <v>124209.852208256</v>
      </c>
      <c r="U3" s="17" t="n">
        <f aca="false" t="array" ref="U3:U3">SUM(U7:U220*D7:D220)</f>
        <v>32936.0806152234</v>
      </c>
      <c r="V3" s="19" t="n">
        <f aca="false" t="array" ref="V3:V3">SUM(V7:V243*D7:D243)</f>
        <v>77470.4702662073</v>
      </c>
      <c r="W3" s="16" t="n">
        <f aca="false" t="array" ref="W3:W3">SUM(W7:W243*D7:D243)</f>
        <v>46958.064773411</v>
      </c>
      <c r="X3" s="17" t="n">
        <f aca="false" t="array" ref="X3:X3">SUM(X7:X243*D7:D243)</f>
        <v>86778.0569964211</v>
      </c>
      <c r="Y3" s="17" t="n">
        <f aca="false" t="array" ref="Y3:Y3">SUM(Y7:Y243*D7:D243)</f>
        <v>48927.189643389</v>
      </c>
      <c r="Z3" s="17" t="n">
        <f aca="false" t="array" ref="Z3:Z3">SUM(Z7:Z243*D7:D243)</f>
        <v>59194.891505086</v>
      </c>
      <c r="AA3" s="18"/>
      <c r="AB3" s="10"/>
      <c r="AC3" s="17" t="n">
        <f aca="false" t="array" ref="AC3:AC3">SUM(AC7:AC243*D7:D243)</f>
        <v>67790.8983987508</v>
      </c>
      <c r="AD3" s="17" t="n">
        <f aca="false" t="array" ref="AD3:AD3">SUM(AD7:AD243*D7:D243)</f>
        <v>87801.0322546704</v>
      </c>
      <c r="AE3" s="17" t="n">
        <f aca="false" t="array" ref="AE3:AE3">SUM(AE7:AE243*D7:D243)</f>
        <v>127956.15431735</v>
      </c>
      <c r="AF3" s="20" t="n">
        <f aca="false" t="array" ref="AF3:AF3">SUM(AF7:AF243*D7:D243)</f>
        <v>0</v>
      </c>
      <c r="AG3" s="20" t="n">
        <f aca="false" t="array" ref="AG3:AG3">SUM(AG7:AG243*D7:D243)</f>
        <v>0</v>
      </c>
      <c r="AH3" s="20" t="n">
        <f aca="false" t="array" ref="AH3:AH3">SUM(AH7:AH243*D7:D243)</f>
        <v>0</v>
      </c>
      <c r="AI3" s="20" t="n">
        <f aca="false" t="array" ref="AI3:AI3">SUM(AI7:AI243*D7:D243)</f>
        <v>0</v>
      </c>
      <c r="AJ3" s="21"/>
      <c r="AK3" s="12"/>
      <c r="AL3" s="22" t="n">
        <f aca="false" t="array" ref="AL3:AL3">SUM(AL7:AL243*D7:D243)</f>
        <v>0</v>
      </c>
      <c r="AM3" s="22" t="n">
        <f aca="false" t="array" ref="AM3:AM3">SUM(AM7:AM234*D7:D234)</f>
        <v>0</v>
      </c>
      <c r="AN3" s="22" t="n">
        <f aca="false" t="array" ref="AN3:AN3">SUM(AN7:AN243*D7:D243)</f>
        <v>0</v>
      </c>
      <c r="AO3" s="22" t="n">
        <f aca="false" t="array" ref="AO3:AO3">SUM(AO7:AO243*D7:D243)</f>
        <v>0</v>
      </c>
      <c r="AP3" s="22" t="n">
        <f aca="false" t="array" ref="AP3:AP3">SUM(AP7:AP243*D7:D243)/AP4</f>
        <v>0</v>
      </c>
      <c r="AQ3" s="22" t="n">
        <f aca="false" t="array" ref="AQ3:AQ3">SUM(AQ7:AQ243*E7:E243)/AQ4</f>
        <v>0</v>
      </c>
      <c r="AR3" s="22" t="n">
        <f aca="false" t="array" ref="AR3:AR3">SUM(AR7:AR243*E7:E243)/AR4</f>
        <v>0</v>
      </c>
      <c r="AS3" s="23"/>
      <c r="AT3" s="13"/>
    </row>
    <row r="4" customFormat="false" ht="13.5" hidden="false" customHeight="true" outlineLevel="0" collapsed="false">
      <c r="A4" s="24" t="s">
        <v>8</v>
      </c>
      <c r="B4" s="24"/>
      <c r="C4" s="24"/>
      <c r="D4" s="24"/>
      <c r="E4" s="25"/>
      <c r="F4" s="26" t="n">
        <v>129</v>
      </c>
      <c r="G4" s="27" t="n">
        <v>124</v>
      </c>
      <c r="H4" s="27" t="n">
        <v>114</v>
      </c>
      <c r="I4" s="28"/>
      <c r="J4" s="8"/>
      <c r="K4" s="27" t="n">
        <v>128</v>
      </c>
      <c r="L4" s="27" t="n">
        <v>131</v>
      </c>
      <c r="M4" s="29" t="n">
        <v>133</v>
      </c>
      <c r="N4" s="29" t="n">
        <v>134</v>
      </c>
      <c r="O4" s="29" t="n">
        <v>137</v>
      </c>
      <c r="P4" s="29" t="n">
        <v>127</v>
      </c>
      <c r="Q4" s="29" t="n">
        <v>128</v>
      </c>
      <c r="R4" s="30"/>
      <c r="S4" s="10"/>
      <c r="T4" s="29" t="n">
        <v>130</v>
      </c>
      <c r="U4" s="29" t="n">
        <v>134</v>
      </c>
      <c r="V4" s="29" t="n">
        <v>132</v>
      </c>
      <c r="W4" s="26" t="n">
        <v>138</v>
      </c>
      <c r="X4" s="27" t="n">
        <v>202</v>
      </c>
      <c r="Y4" s="27" t="n">
        <v>141</v>
      </c>
      <c r="Z4" s="27" t="n">
        <v>134</v>
      </c>
      <c r="AA4" s="28"/>
      <c r="AB4" s="10"/>
      <c r="AC4" s="27" t="n">
        <v>142</v>
      </c>
      <c r="AD4" s="31" t="n">
        <v>1</v>
      </c>
      <c r="AE4" s="31" t="n">
        <v>1</v>
      </c>
      <c r="AF4" s="31" t="n">
        <v>1</v>
      </c>
      <c r="AG4" s="31" t="n">
        <v>1</v>
      </c>
      <c r="AH4" s="31" t="n">
        <v>1</v>
      </c>
      <c r="AI4" s="31" t="n">
        <v>1</v>
      </c>
      <c r="AJ4" s="28"/>
      <c r="AK4" s="12"/>
      <c r="AL4" s="32" t="n">
        <v>1</v>
      </c>
      <c r="AM4" s="32" t="n">
        <v>1</v>
      </c>
      <c r="AN4" s="32" t="n">
        <v>1</v>
      </c>
      <c r="AO4" s="32" t="n">
        <v>1</v>
      </c>
      <c r="AP4" s="32" t="n">
        <v>1</v>
      </c>
      <c r="AQ4" s="32" t="n">
        <v>1</v>
      </c>
      <c r="AR4" s="32" t="n">
        <v>1</v>
      </c>
      <c r="AS4" s="33"/>
      <c r="AT4" s="13"/>
    </row>
    <row r="5" customFormat="false" ht="13.5" hidden="false" customHeight="true" outlineLevel="0" collapsed="false">
      <c r="A5" s="34" t="s">
        <v>9</v>
      </c>
      <c r="B5" s="35" t="s">
        <v>10</v>
      </c>
      <c r="C5" s="35" t="s">
        <v>11</v>
      </c>
      <c r="D5" s="36" t="s">
        <v>12</v>
      </c>
      <c r="E5" s="37"/>
      <c r="F5" s="38" t="n">
        <v>1</v>
      </c>
      <c r="G5" s="39" t="n">
        <v>2</v>
      </c>
      <c r="H5" s="39" t="n">
        <v>3</v>
      </c>
      <c r="I5" s="40"/>
      <c r="J5" s="8"/>
      <c r="K5" s="39" t="n">
        <v>4</v>
      </c>
      <c r="L5" s="39" t="n">
        <v>5</v>
      </c>
      <c r="M5" s="41" t="n">
        <v>6</v>
      </c>
      <c r="N5" s="41" t="n">
        <v>7</v>
      </c>
      <c r="O5" s="39" t="n">
        <v>8</v>
      </c>
      <c r="P5" s="39" t="n">
        <v>9</v>
      </c>
      <c r="Q5" s="39" t="n">
        <v>10</v>
      </c>
      <c r="R5" s="42"/>
      <c r="S5" s="10"/>
      <c r="T5" s="41" t="n">
        <v>11</v>
      </c>
      <c r="U5" s="41" t="n">
        <v>12</v>
      </c>
      <c r="V5" s="41" t="n">
        <v>13</v>
      </c>
      <c r="W5" s="38" t="n">
        <v>14</v>
      </c>
      <c r="X5" s="39" t="n">
        <v>15</v>
      </c>
      <c r="Y5" s="39" t="n">
        <v>16</v>
      </c>
      <c r="Z5" s="39" t="n">
        <v>17</v>
      </c>
      <c r="AA5" s="40"/>
      <c r="AB5" s="10"/>
      <c r="AC5" s="39" t="n">
        <v>18</v>
      </c>
      <c r="AD5" s="39" t="n">
        <v>19</v>
      </c>
      <c r="AE5" s="39" t="n">
        <v>20</v>
      </c>
      <c r="AF5" s="39" t="n">
        <v>21</v>
      </c>
      <c r="AG5" s="39" t="n">
        <v>22</v>
      </c>
      <c r="AH5" s="39" t="n">
        <v>23</v>
      </c>
      <c r="AI5" s="39" t="n">
        <v>24</v>
      </c>
      <c r="AJ5" s="40"/>
      <c r="AK5" s="12"/>
      <c r="AL5" s="43" t="n">
        <v>25</v>
      </c>
      <c r="AM5" s="43" t="n">
        <v>26</v>
      </c>
      <c r="AN5" s="43" t="n">
        <v>27</v>
      </c>
      <c r="AO5" s="43" t="n">
        <v>28</v>
      </c>
      <c r="AP5" s="44" t="n">
        <v>29</v>
      </c>
      <c r="AQ5" s="44" t="n">
        <v>30</v>
      </c>
      <c r="AR5" s="44" t="n">
        <v>31</v>
      </c>
      <c r="AS5" s="33"/>
      <c r="AT5" s="13"/>
    </row>
    <row r="6" customFormat="false" ht="13.5" hidden="false" customHeight="true" outlineLevel="0" collapsed="false">
      <c r="A6" s="45"/>
      <c r="B6" s="46"/>
      <c r="C6" s="46"/>
      <c r="D6" s="46"/>
      <c r="E6" s="37"/>
      <c r="F6" s="47"/>
      <c r="G6" s="48"/>
      <c r="H6" s="48"/>
      <c r="I6" s="49"/>
      <c r="J6" s="49"/>
      <c r="K6" s="48"/>
      <c r="L6" s="48"/>
      <c r="M6" s="50"/>
      <c r="N6" s="50"/>
      <c r="O6" s="50"/>
      <c r="P6" s="50"/>
      <c r="Q6" s="50"/>
      <c r="R6" s="51"/>
      <c r="S6" s="51"/>
      <c r="T6" s="50"/>
      <c r="U6" s="50"/>
      <c r="V6" s="50"/>
      <c r="W6" s="47"/>
      <c r="X6" s="48"/>
      <c r="Y6" s="48"/>
      <c r="Z6" s="48"/>
      <c r="AA6" s="49"/>
      <c r="AB6" s="49"/>
      <c r="AC6" s="48"/>
      <c r="AD6" s="48"/>
      <c r="AE6" s="48"/>
      <c r="AF6" s="48"/>
      <c r="AG6" s="52"/>
      <c r="AH6" s="48"/>
      <c r="AI6" s="52"/>
      <c r="AJ6" s="49"/>
      <c r="AK6" s="51"/>
      <c r="AL6" s="43"/>
      <c r="AM6" s="43"/>
      <c r="AN6" s="43"/>
      <c r="AO6" s="43"/>
      <c r="AP6" s="44"/>
      <c r="AQ6" s="44"/>
      <c r="AR6" s="44"/>
      <c r="AS6" s="33"/>
      <c r="AT6" s="23"/>
    </row>
    <row r="7" customFormat="false" ht="13.5" hidden="false" customHeight="true" outlineLevel="0" collapsed="false">
      <c r="A7" s="53"/>
      <c r="B7" s="54" t="s">
        <v>13</v>
      </c>
      <c r="C7" s="54" t="s">
        <v>14</v>
      </c>
      <c r="D7" s="55" t="n">
        <v>379.49</v>
      </c>
      <c r="E7" s="56" t="n">
        <v>27.26</v>
      </c>
      <c r="F7" s="57"/>
      <c r="G7" s="58"/>
      <c r="H7" s="58" t="n">
        <v>13.34</v>
      </c>
      <c r="I7" s="59" t="n">
        <f aca="false">SUM(F7:H7)</f>
        <v>13.34</v>
      </c>
      <c r="J7" s="60" t="n">
        <f aca="false">E7-I7</f>
        <v>13.92</v>
      </c>
      <c r="K7" s="58"/>
      <c r="L7" s="61"/>
      <c r="M7" s="62"/>
      <c r="N7" s="62"/>
      <c r="O7" s="63" t="n">
        <v>13.92</v>
      </c>
      <c r="P7" s="63"/>
      <c r="Q7" s="63"/>
      <c r="R7" s="59" t="n">
        <f aca="false">SUM(K7:Q7)</f>
        <v>13.92</v>
      </c>
      <c r="S7" s="60" t="n">
        <f aca="false">J7-R7+40.2</f>
        <v>40.2</v>
      </c>
      <c r="T7" s="62"/>
      <c r="U7" s="62"/>
      <c r="V7" s="64"/>
      <c r="W7" s="57"/>
      <c r="X7" s="58"/>
      <c r="Y7" s="58"/>
      <c r="Z7" s="58"/>
      <c r="AA7" s="59" t="n">
        <f aca="false">SUM(T7:Z7)</f>
        <v>0</v>
      </c>
      <c r="AB7" s="60" t="n">
        <f aca="false">S7-AA7</f>
        <v>40.2</v>
      </c>
      <c r="AC7" s="58"/>
      <c r="AD7" s="58" t="n">
        <v>10.2</v>
      </c>
      <c r="AE7" s="58" t="n">
        <v>4.25</v>
      </c>
      <c r="AF7" s="58"/>
      <c r="AG7" s="58"/>
      <c r="AH7" s="58"/>
      <c r="AJ7" s="65" t="n">
        <f aca="false">SUM(AC7:AI7)</f>
        <v>14.45</v>
      </c>
      <c r="AK7" s="60" t="n">
        <f aca="false">AB7-AJ7</f>
        <v>25.75</v>
      </c>
      <c r="AL7" s="66"/>
      <c r="AM7" s="66"/>
      <c r="AN7" s="66"/>
      <c r="AO7" s="66"/>
      <c r="AP7" s="67"/>
      <c r="AQ7" s="67"/>
      <c r="AR7" s="67"/>
      <c r="AS7" s="60" t="n">
        <f aca="false">SUM(AL7:AR7)</f>
        <v>0</v>
      </c>
      <c r="AT7" s="60" t="n">
        <f aca="false">AK7-AS7</f>
        <v>25.75</v>
      </c>
    </row>
    <row r="8" customFormat="false" ht="13.5" hidden="false" customHeight="true" outlineLevel="0" collapsed="false">
      <c r="A8" s="68"/>
      <c r="B8" s="69" t="s">
        <v>15</v>
      </c>
      <c r="C8" s="69" t="s">
        <v>16</v>
      </c>
      <c r="D8" s="70" t="n">
        <v>118.52</v>
      </c>
      <c r="E8" s="56" t="n">
        <v>12</v>
      </c>
      <c r="F8" s="71"/>
      <c r="G8" s="66"/>
      <c r="H8" s="66"/>
      <c r="I8" s="59" t="n">
        <f aca="false">SUM(F8:H8)</f>
        <v>0</v>
      </c>
      <c r="J8" s="60" t="n">
        <f aca="false">E8-I8</f>
        <v>12</v>
      </c>
      <c r="K8" s="66"/>
      <c r="L8" s="72"/>
      <c r="M8" s="63" t="n">
        <v>12</v>
      </c>
      <c r="N8" s="63"/>
      <c r="O8" s="63"/>
      <c r="P8" s="63"/>
      <c r="Q8" s="63"/>
      <c r="R8" s="59" t="n">
        <f aca="false">SUM(K8:Q8)</f>
        <v>12</v>
      </c>
      <c r="S8" s="60" t="n">
        <f aca="false">J8-R8</f>
        <v>0</v>
      </c>
      <c r="T8" s="63"/>
      <c r="U8" s="63"/>
      <c r="V8" s="73"/>
      <c r="W8" s="71"/>
      <c r="X8" s="66"/>
      <c r="Y8" s="66"/>
      <c r="Z8" s="66"/>
      <c r="AA8" s="59" t="n">
        <f aca="false">SUM(T8:Z8)</f>
        <v>0</v>
      </c>
      <c r="AB8" s="60" t="n">
        <f aca="false">S8-AA8</f>
        <v>0</v>
      </c>
      <c r="AC8" s="66"/>
      <c r="AD8" s="66"/>
      <c r="AE8" s="66"/>
      <c r="AF8" s="66"/>
      <c r="AG8" s="66"/>
      <c r="AH8" s="66"/>
      <c r="AI8" s="74"/>
      <c r="AJ8" s="65" t="n">
        <f aca="false">SUM(AC8:AI8)</f>
        <v>0</v>
      </c>
      <c r="AK8" s="60" t="n">
        <f aca="false">AB8-AJ8</f>
        <v>0</v>
      </c>
      <c r="AL8" s="66"/>
      <c r="AM8" s="66"/>
      <c r="AN8" s="66"/>
      <c r="AO8" s="66"/>
      <c r="AP8" s="75"/>
      <c r="AQ8" s="75"/>
      <c r="AR8" s="75"/>
      <c r="AS8" s="60" t="n">
        <f aca="false">SUM(AL8:AR8)</f>
        <v>0</v>
      </c>
      <c r="AT8" s="60" t="n">
        <f aca="false">AK8-AS8</f>
        <v>0</v>
      </c>
    </row>
    <row r="9" customFormat="false" ht="13.5" hidden="false" customHeight="true" outlineLevel="0" collapsed="false">
      <c r="A9" s="76"/>
      <c r="B9" s="77" t="s">
        <v>17</v>
      </c>
      <c r="C9" s="77" t="s">
        <v>14</v>
      </c>
      <c r="D9" s="78" t="n">
        <v>463.10044105854</v>
      </c>
      <c r="E9" s="56" t="n">
        <v>9</v>
      </c>
      <c r="F9" s="79"/>
      <c r="G9" s="80"/>
      <c r="H9" s="80"/>
      <c r="I9" s="59" t="n">
        <f aca="false">SUM(F9:H9)</f>
        <v>0</v>
      </c>
      <c r="J9" s="60" t="n">
        <f aca="false">E9-I9</f>
        <v>9</v>
      </c>
      <c r="K9" s="80"/>
      <c r="L9" s="81"/>
      <c r="M9" s="82"/>
      <c r="N9" s="82"/>
      <c r="O9" s="82"/>
      <c r="P9" s="82"/>
      <c r="Q9" s="82"/>
      <c r="R9" s="59" t="n">
        <f aca="false">SUM(K9:Q9)</f>
        <v>0</v>
      </c>
      <c r="S9" s="60" t="n">
        <f aca="false">J9-R9</f>
        <v>9</v>
      </c>
      <c r="T9" s="82"/>
      <c r="U9" s="82"/>
      <c r="V9" s="83"/>
      <c r="W9" s="79"/>
      <c r="X9" s="80"/>
      <c r="Y9" s="80"/>
      <c r="Z9" s="80" t="n">
        <v>0.2</v>
      </c>
      <c r="AA9" s="59" t="n">
        <f aca="false">SUM(T9:Z9)</f>
        <v>0.2</v>
      </c>
      <c r="AB9" s="60" t="n">
        <f aca="false">S9-AA9</f>
        <v>8.8</v>
      </c>
      <c r="AC9" s="80"/>
      <c r="AD9" s="80"/>
      <c r="AE9" s="80"/>
      <c r="AF9" s="80"/>
      <c r="AG9" s="80"/>
      <c r="AH9" s="80"/>
      <c r="AI9" s="83"/>
      <c r="AJ9" s="65" t="n">
        <f aca="false">SUM(AC9:AI9)</f>
        <v>0</v>
      </c>
      <c r="AK9" s="60" t="n">
        <f aca="false">AB9-AJ9</f>
        <v>8.8</v>
      </c>
      <c r="AL9" s="80"/>
      <c r="AM9" s="80"/>
      <c r="AN9" s="80"/>
      <c r="AO9" s="66"/>
      <c r="AP9" s="75"/>
      <c r="AQ9" s="75"/>
      <c r="AR9" s="75"/>
      <c r="AS9" s="60" t="n">
        <f aca="false">SUM(AL9:AR9)</f>
        <v>0</v>
      </c>
      <c r="AT9" s="60" t="n">
        <f aca="false">AK9-AS9</f>
        <v>8.8</v>
      </c>
    </row>
    <row r="10" customFormat="false" ht="13.5" hidden="false" customHeight="true" outlineLevel="0" collapsed="false">
      <c r="A10" s="76"/>
      <c r="B10" s="77" t="s">
        <v>18</v>
      </c>
      <c r="C10" s="77" t="s">
        <v>19</v>
      </c>
      <c r="D10" s="78" t="n">
        <v>0.85</v>
      </c>
      <c r="E10" s="56" t="n">
        <v>2740</v>
      </c>
      <c r="F10" s="79"/>
      <c r="G10" s="80"/>
      <c r="H10" s="80"/>
      <c r="I10" s="59" t="n">
        <f aca="false">SUM(F10:H10)</f>
        <v>0</v>
      </c>
      <c r="J10" s="60" t="n">
        <f aca="false">E10-I10</f>
        <v>2740</v>
      </c>
      <c r="K10" s="80"/>
      <c r="L10" s="81"/>
      <c r="M10" s="82" t="n">
        <v>200</v>
      </c>
      <c r="N10" s="82"/>
      <c r="O10" s="82"/>
      <c r="P10" s="82"/>
      <c r="Q10" s="82"/>
      <c r="R10" s="59" t="n">
        <f aca="false">SUM(K10:Q10)</f>
        <v>200</v>
      </c>
      <c r="S10" s="60" t="n">
        <f aca="false">J10-R10</f>
        <v>2540</v>
      </c>
      <c r="T10" s="82"/>
      <c r="U10" s="82"/>
      <c r="V10" s="83"/>
      <c r="W10" s="79"/>
      <c r="X10" s="80"/>
      <c r="Y10" s="80"/>
      <c r="Z10" s="80"/>
      <c r="AA10" s="59" t="n">
        <f aca="false">SUM(T10:Z10)</f>
        <v>0</v>
      </c>
      <c r="AB10" s="60" t="n">
        <f aca="false">S10-AA10</f>
        <v>2540</v>
      </c>
      <c r="AC10" s="80"/>
      <c r="AD10" s="80"/>
      <c r="AE10" s="80"/>
      <c r="AF10" s="80"/>
      <c r="AG10" s="80"/>
      <c r="AH10" s="80"/>
      <c r="AI10" s="83"/>
      <c r="AJ10" s="65" t="n">
        <f aca="false">SUM(AC10:AI10)</f>
        <v>0</v>
      </c>
      <c r="AK10" s="60" t="n">
        <f aca="false">AB10-AJ10</f>
        <v>2540</v>
      </c>
      <c r="AL10" s="80"/>
      <c r="AM10" s="80"/>
      <c r="AN10" s="80"/>
      <c r="AO10" s="80"/>
      <c r="AP10" s="75"/>
      <c r="AQ10" s="75"/>
      <c r="AR10" s="75"/>
      <c r="AS10" s="60" t="n">
        <f aca="false">SUM(AL10:AR10)</f>
        <v>0</v>
      </c>
      <c r="AT10" s="60" t="n">
        <f aca="false">AK10-AS10</f>
        <v>2540</v>
      </c>
    </row>
    <row r="11" customFormat="false" ht="13.5" hidden="false" customHeight="true" outlineLevel="0" collapsed="false">
      <c r="A11" s="76"/>
      <c r="B11" s="77" t="s">
        <v>20</v>
      </c>
      <c r="C11" s="77" t="s">
        <v>14</v>
      </c>
      <c r="D11" s="78" t="n">
        <v>680.74</v>
      </c>
      <c r="E11" s="56" t="n">
        <v>28.32</v>
      </c>
      <c r="F11" s="79"/>
      <c r="G11" s="80"/>
      <c r="H11" s="80"/>
      <c r="I11" s="59" t="n">
        <f aca="false">SUM(F11:H11)</f>
        <v>0</v>
      </c>
      <c r="J11" s="60" t="n">
        <f aca="false">E11-I11</f>
        <v>28.32</v>
      </c>
      <c r="K11" s="80" t="n">
        <v>2</v>
      </c>
      <c r="L11" s="81"/>
      <c r="M11" s="82"/>
      <c r="N11" s="82" t="n">
        <v>1.2</v>
      </c>
      <c r="O11" s="82" t="n">
        <v>2.4</v>
      </c>
      <c r="P11" s="82"/>
      <c r="Q11" s="82" t="n">
        <v>1.6</v>
      </c>
      <c r="R11" s="59" t="n">
        <f aca="false">SUM(K11:Q11)</f>
        <v>7.2</v>
      </c>
      <c r="S11" s="60" t="n">
        <f aca="false">J11-R11+54.877</f>
        <v>75.997</v>
      </c>
      <c r="T11" s="82" t="n">
        <v>1.6</v>
      </c>
      <c r="U11" s="82" t="n">
        <v>2</v>
      </c>
      <c r="V11" s="83"/>
      <c r="W11" s="79" t="n">
        <v>2.8</v>
      </c>
      <c r="X11" s="80"/>
      <c r="Y11" s="80"/>
      <c r="Z11" s="80"/>
      <c r="AA11" s="59" t="n">
        <f aca="false">SUM(T11:Z11)</f>
        <v>6.4</v>
      </c>
      <c r="AB11" s="60" t="n">
        <f aca="false">S11-AA11</f>
        <v>69.597</v>
      </c>
      <c r="AC11" s="80"/>
      <c r="AD11" s="80"/>
      <c r="AE11" s="80" t="n">
        <v>0.8</v>
      </c>
      <c r="AF11" s="80"/>
      <c r="AG11" s="80"/>
      <c r="AH11" s="80"/>
      <c r="AI11" s="83"/>
      <c r="AJ11" s="65" t="n">
        <f aca="false">SUM(AC11:AI11)</f>
        <v>0.8</v>
      </c>
      <c r="AK11" s="60" t="n">
        <f aca="false">AB11-AJ11</f>
        <v>68.797</v>
      </c>
      <c r="AL11" s="80"/>
      <c r="AM11" s="80"/>
      <c r="AN11" s="80"/>
      <c r="AO11" s="80"/>
      <c r="AP11" s="75"/>
      <c r="AQ11" s="75"/>
      <c r="AR11" s="75"/>
      <c r="AS11" s="60" t="n">
        <f aca="false">SUM(AL11:AR11)</f>
        <v>0</v>
      </c>
      <c r="AT11" s="60" t="n">
        <f aca="false">AK11-AS11</f>
        <v>68.797</v>
      </c>
    </row>
    <row r="12" customFormat="false" ht="13.5" hidden="false" customHeight="true" outlineLevel="0" collapsed="false">
      <c r="A12" s="76"/>
      <c r="B12" s="77" t="s">
        <v>21</v>
      </c>
      <c r="C12" s="77" t="s">
        <v>19</v>
      </c>
      <c r="D12" s="78" t="n">
        <v>220</v>
      </c>
      <c r="E12" s="56" t="n">
        <v>79</v>
      </c>
      <c r="F12" s="79"/>
      <c r="G12" s="80"/>
      <c r="H12" s="80"/>
      <c r="I12" s="59" t="n">
        <f aca="false">SUM(F12:H12)</f>
        <v>0</v>
      </c>
      <c r="J12" s="60" t="n">
        <f aca="false">79+50</f>
        <v>129</v>
      </c>
      <c r="K12" s="80" t="n">
        <v>49</v>
      </c>
      <c r="L12" s="81"/>
      <c r="M12" s="82"/>
      <c r="N12" s="82"/>
      <c r="O12" s="82"/>
      <c r="P12" s="82"/>
      <c r="Q12" s="82"/>
      <c r="R12" s="59" t="n">
        <f aca="false">SUM(K12:Q12)</f>
        <v>49</v>
      </c>
      <c r="S12" s="60" t="n">
        <f aca="false">J12-R12+50+50</f>
        <v>180</v>
      </c>
      <c r="T12" s="82" t="n">
        <v>48</v>
      </c>
      <c r="U12" s="82"/>
      <c r="V12" s="83"/>
      <c r="W12" s="79"/>
      <c r="X12" s="80"/>
      <c r="Y12" s="80" t="n">
        <v>54</v>
      </c>
      <c r="Z12" s="80"/>
      <c r="AA12" s="59" t="n">
        <f aca="false">SUM(T12:Z12)</f>
        <v>102</v>
      </c>
      <c r="AB12" s="60" t="n">
        <f aca="false">S12-AA12</f>
        <v>78</v>
      </c>
      <c r="AC12" s="80"/>
      <c r="AD12" s="80"/>
      <c r="AE12" s="80"/>
      <c r="AF12" s="80"/>
      <c r="AG12" s="80"/>
      <c r="AH12" s="80"/>
      <c r="AI12" s="83"/>
      <c r="AJ12" s="65" t="n">
        <f aca="false">SUM(AC12:AI12)</f>
        <v>0</v>
      </c>
      <c r="AK12" s="60" t="n">
        <f aca="false">AB12-AJ12</f>
        <v>78</v>
      </c>
      <c r="AL12" s="80"/>
      <c r="AM12" s="80"/>
      <c r="AN12" s="80"/>
      <c r="AO12" s="80"/>
      <c r="AP12" s="75"/>
      <c r="AQ12" s="75"/>
      <c r="AR12" s="75"/>
      <c r="AS12" s="60" t="n">
        <f aca="false">SUM(AL12:AR12)</f>
        <v>0</v>
      </c>
      <c r="AT12" s="60" t="n">
        <f aca="false">AK12-AS12</f>
        <v>78</v>
      </c>
    </row>
    <row r="13" customFormat="false" ht="13.5" hidden="false" customHeight="true" outlineLevel="0" collapsed="false">
      <c r="A13" s="76"/>
      <c r="B13" s="77" t="s">
        <v>22</v>
      </c>
      <c r="C13" s="77" t="s">
        <v>23</v>
      </c>
      <c r="D13" s="78"/>
      <c r="E13" s="56" t="n">
        <v>0</v>
      </c>
      <c r="F13" s="79"/>
      <c r="G13" s="80"/>
      <c r="H13" s="80"/>
      <c r="I13" s="59" t="n">
        <f aca="false">SUM(F13:H13)</f>
        <v>0</v>
      </c>
      <c r="J13" s="60" t="n">
        <f aca="false">E13-I13</f>
        <v>0</v>
      </c>
      <c r="K13" s="80"/>
      <c r="L13" s="81"/>
      <c r="M13" s="82"/>
      <c r="N13" s="82"/>
      <c r="O13" s="82"/>
      <c r="P13" s="82"/>
      <c r="Q13" s="82"/>
      <c r="R13" s="59" t="n">
        <f aca="false">SUM(K13:Q13)</f>
        <v>0</v>
      </c>
      <c r="S13" s="60" t="n">
        <f aca="false">J13-R13</f>
        <v>0</v>
      </c>
      <c r="T13" s="82"/>
      <c r="U13" s="82"/>
      <c r="V13" s="83"/>
      <c r="W13" s="79"/>
      <c r="X13" s="80"/>
      <c r="Y13" s="80"/>
      <c r="Z13" s="80"/>
      <c r="AA13" s="59" t="n">
        <f aca="false">SUM(T13:Z13)</f>
        <v>0</v>
      </c>
      <c r="AB13" s="60" t="n">
        <f aca="false">S13-AA13</f>
        <v>0</v>
      </c>
      <c r="AC13" s="80"/>
      <c r="AD13" s="80"/>
      <c r="AE13" s="80"/>
      <c r="AF13" s="80"/>
      <c r="AG13" s="80"/>
      <c r="AH13" s="80"/>
      <c r="AI13" s="83"/>
      <c r="AJ13" s="65" t="n">
        <f aca="false">SUM(AC13:AI13)</f>
        <v>0</v>
      </c>
      <c r="AK13" s="60" t="n">
        <f aca="false">AB13-AJ13</f>
        <v>0</v>
      </c>
      <c r="AL13" s="80"/>
      <c r="AM13" s="80"/>
      <c r="AN13" s="80"/>
      <c r="AO13" s="80"/>
      <c r="AP13" s="75"/>
      <c r="AQ13" s="75"/>
      <c r="AR13" s="75"/>
      <c r="AS13" s="60" t="n">
        <f aca="false">SUM(AL13:AR13)</f>
        <v>0</v>
      </c>
      <c r="AT13" s="60" t="n">
        <f aca="false">AK13-AS13</f>
        <v>0</v>
      </c>
    </row>
    <row r="14" customFormat="false" ht="13.5" hidden="false" customHeight="true" outlineLevel="0" collapsed="false">
      <c r="A14" s="76"/>
      <c r="B14" s="77" t="s">
        <v>24</v>
      </c>
      <c r="C14" s="77" t="s">
        <v>14</v>
      </c>
      <c r="D14" s="78" t="n">
        <v>135.22</v>
      </c>
      <c r="E14" s="56" t="n">
        <v>9</v>
      </c>
      <c r="F14" s="79"/>
      <c r="G14" s="80"/>
      <c r="H14" s="80"/>
      <c r="I14" s="59" t="n">
        <f aca="false">SUM(F14:H14)</f>
        <v>0</v>
      </c>
      <c r="J14" s="60" t="n">
        <f aca="false">E14-I14</f>
        <v>9</v>
      </c>
      <c r="K14" s="80"/>
      <c r="L14" s="81"/>
      <c r="M14" s="82"/>
      <c r="N14" s="82"/>
      <c r="O14" s="82"/>
      <c r="P14" s="82"/>
      <c r="Q14" s="82"/>
      <c r="R14" s="59" t="n">
        <f aca="false">SUM(K14:Q14)</f>
        <v>0</v>
      </c>
      <c r="S14" s="60" t="n">
        <f aca="false">J14-R14</f>
        <v>9</v>
      </c>
      <c r="T14" s="82"/>
      <c r="U14" s="82"/>
      <c r="V14" s="83"/>
      <c r="W14" s="79"/>
      <c r="X14" s="80"/>
      <c r="Y14" s="80"/>
      <c r="Z14" s="80" t="n">
        <v>1</v>
      </c>
      <c r="AA14" s="59" t="n">
        <f aca="false">SUM(T14:Z14)</f>
        <v>1</v>
      </c>
      <c r="AB14" s="60" t="n">
        <f aca="false">S14-AA14</f>
        <v>8</v>
      </c>
      <c r="AC14" s="80"/>
      <c r="AD14" s="80"/>
      <c r="AE14" s="80"/>
      <c r="AF14" s="80"/>
      <c r="AG14" s="80"/>
      <c r="AH14" s="80"/>
      <c r="AI14" s="83"/>
      <c r="AJ14" s="65" t="n">
        <f aca="false">SUM(AC14:AI14)</f>
        <v>0</v>
      </c>
      <c r="AK14" s="60" t="n">
        <f aca="false">AB14-AJ14</f>
        <v>8</v>
      </c>
      <c r="AL14" s="80"/>
      <c r="AM14" s="80"/>
      <c r="AN14" s="80"/>
      <c r="AO14" s="80"/>
      <c r="AP14" s="75"/>
      <c r="AQ14" s="75"/>
      <c r="AR14" s="75"/>
      <c r="AS14" s="60" t="n">
        <f aca="false">SUM(AL14:AR14)</f>
        <v>0</v>
      </c>
      <c r="AT14" s="60" t="n">
        <f aca="false">AK14-AS14</f>
        <v>8</v>
      </c>
    </row>
    <row r="15" customFormat="false" ht="13.5" hidden="false" customHeight="true" outlineLevel="0" collapsed="false">
      <c r="A15" s="76"/>
      <c r="B15" s="77" t="s">
        <v>25</v>
      </c>
      <c r="C15" s="77" t="s">
        <v>14</v>
      </c>
      <c r="D15" s="78" t="n">
        <v>458.4</v>
      </c>
      <c r="E15" s="56" t="n">
        <v>7</v>
      </c>
      <c r="F15" s="79"/>
      <c r="G15" s="80"/>
      <c r="H15" s="80"/>
      <c r="I15" s="59" t="n">
        <f aca="false">SUM(F15:H15)</f>
        <v>0</v>
      </c>
      <c r="J15" s="60" t="n">
        <f aca="false">E15-I15</f>
        <v>7</v>
      </c>
      <c r="K15" s="80"/>
      <c r="L15" s="81"/>
      <c r="M15" s="82"/>
      <c r="N15" s="82"/>
      <c r="O15" s="82"/>
      <c r="P15" s="82" t="n">
        <v>2.83</v>
      </c>
      <c r="Q15" s="82"/>
      <c r="R15" s="59" t="n">
        <f aca="false">SUM(K15:Q15)</f>
        <v>2.83</v>
      </c>
      <c r="S15" s="60" t="n">
        <f aca="false">J15-R15</f>
        <v>4.17</v>
      </c>
      <c r="T15" s="82"/>
      <c r="U15" s="82"/>
      <c r="V15" s="83"/>
      <c r="W15" s="79"/>
      <c r="X15" s="80"/>
      <c r="Y15" s="80"/>
      <c r="Z15" s="80"/>
      <c r="AA15" s="59" t="n">
        <f aca="false">SUM(T15:Z15)</f>
        <v>0</v>
      </c>
      <c r="AB15" s="60" t="n">
        <f aca="false">S15-AA15</f>
        <v>4.17</v>
      </c>
      <c r="AC15" s="80"/>
      <c r="AD15" s="80"/>
      <c r="AE15" s="80"/>
      <c r="AF15" s="80"/>
      <c r="AG15" s="80"/>
      <c r="AH15" s="80"/>
      <c r="AI15" s="83"/>
      <c r="AJ15" s="65" t="n">
        <f aca="false">SUM(AC15:AI15)</f>
        <v>0</v>
      </c>
      <c r="AK15" s="60" t="n">
        <f aca="false">AB15-AJ15</f>
        <v>4.17</v>
      </c>
      <c r="AL15" s="80"/>
      <c r="AM15" s="80"/>
      <c r="AN15" s="80"/>
      <c r="AO15" s="80"/>
      <c r="AP15" s="75"/>
      <c r="AQ15" s="75"/>
      <c r="AR15" s="75"/>
      <c r="AS15" s="60" t="n">
        <f aca="false">SUM(AL15:AR15)</f>
        <v>0</v>
      </c>
      <c r="AT15" s="60" t="n">
        <f aca="false">AK15-AS15</f>
        <v>4.17</v>
      </c>
    </row>
    <row r="16" customFormat="false" ht="13.5" hidden="false" customHeight="true" outlineLevel="0" collapsed="false">
      <c r="A16" s="76"/>
      <c r="B16" s="77" t="s">
        <v>26</v>
      </c>
      <c r="C16" s="77" t="s">
        <v>14</v>
      </c>
      <c r="D16" s="78" t="n">
        <v>317.3</v>
      </c>
      <c r="E16" s="56" t="n">
        <v>52.8</v>
      </c>
      <c r="F16" s="79" t="n">
        <v>2</v>
      </c>
      <c r="G16" s="80"/>
      <c r="H16" s="80" t="n">
        <v>9.7</v>
      </c>
      <c r="I16" s="59" t="n">
        <f aca="false">SUM(F16:H16)</f>
        <v>11.7</v>
      </c>
      <c r="J16" s="60" t="n">
        <f aca="false">E16-I16</f>
        <v>41.1</v>
      </c>
      <c r="K16" s="80" t="n">
        <v>9.7</v>
      </c>
      <c r="L16" s="81"/>
      <c r="M16" s="82" t="n">
        <v>9.7</v>
      </c>
      <c r="N16" s="82"/>
      <c r="O16" s="82" t="n">
        <v>9.7</v>
      </c>
      <c r="P16" s="82"/>
      <c r="Q16" s="82"/>
      <c r="R16" s="59" t="n">
        <f aca="false">SUM(K16:Q16)</f>
        <v>29.1</v>
      </c>
      <c r="S16" s="60" t="n">
        <f aca="false">J16-R16</f>
        <v>12</v>
      </c>
      <c r="T16" s="82" t="n">
        <v>4</v>
      </c>
      <c r="U16" s="82"/>
      <c r="V16" s="83"/>
      <c r="W16" s="79"/>
      <c r="X16" s="80"/>
      <c r="Y16" s="80"/>
      <c r="Z16" s="80"/>
      <c r="AA16" s="59" t="n">
        <f aca="false">SUM(T16:Z16)</f>
        <v>4</v>
      </c>
      <c r="AB16" s="60" t="n">
        <f aca="false">S16-AA16</f>
        <v>8</v>
      </c>
      <c r="AC16" s="80"/>
      <c r="AD16" s="80"/>
      <c r="AE16" s="80"/>
      <c r="AF16" s="80"/>
      <c r="AG16" s="80"/>
      <c r="AH16" s="80"/>
      <c r="AI16" s="83"/>
      <c r="AJ16" s="65" t="n">
        <f aca="false">SUM(AC16:AI16)</f>
        <v>0</v>
      </c>
      <c r="AK16" s="60" t="n">
        <f aca="false">AB16-AJ16</f>
        <v>8</v>
      </c>
      <c r="AL16" s="80"/>
      <c r="AM16" s="80"/>
      <c r="AN16" s="80"/>
      <c r="AO16" s="80"/>
      <c r="AP16" s="75"/>
      <c r="AQ16" s="75"/>
      <c r="AR16" s="75"/>
      <c r="AS16" s="60" t="n">
        <f aca="false">SUM(AL16:AR16)</f>
        <v>0</v>
      </c>
      <c r="AT16" s="60" t="n">
        <f aca="false">AK16-AS16</f>
        <v>8</v>
      </c>
    </row>
    <row r="17" customFormat="false" ht="13.5" hidden="false" customHeight="true" outlineLevel="0" collapsed="false">
      <c r="A17" s="76"/>
      <c r="B17" s="77" t="s">
        <v>27</v>
      </c>
      <c r="C17" s="77" t="s">
        <v>14</v>
      </c>
      <c r="D17" s="78" t="n">
        <v>168.235494880546</v>
      </c>
      <c r="E17" s="56" t="n">
        <v>55.8</v>
      </c>
      <c r="F17" s="79"/>
      <c r="G17" s="80"/>
      <c r="H17" s="80"/>
      <c r="I17" s="59" t="n">
        <f aca="false">SUM(F17:H17)</f>
        <v>0</v>
      </c>
      <c r="J17" s="60" t="n">
        <f aca="false">E17-I17</f>
        <v>55.8</v>
      </c>
      <c r="K17" s="80"/>
      <c r="L17" s="81"/>
      <c r="M17" s="82"/>
      <c r="N17" s="82"/>
      <c r="O17" s="82"/>
      <c r="P17" s="82"/>
      <c r="Q17" s="82"/>
      <c r="R17" s="59" t="n">
        <f aca="false">SUM(K17:Q17)</f>
        <v>0</v>
      </c>
      <c r="S17" s="60" t="n">
        <v>55.8</v>
      </c>
      <c r="T17" s="82"/>
      <c r="U17" s="82" t="n">
        <v>5.68</v>
      </c>
      <c r="V17" s="83"/>
      <c r="W17" s="79"/>
      <c r="X17" s="80"/>
      <c r="Y17" s="80" t="n">
        <v>6</v>
      </c>
      <c r="Z17" s="80"/>
      <c r="AA17" s="59" t="n">
        <f aca="false">SUM(T17:Z17)</f>
        <v>11.68</v>
      </c>
      <c r="AB17" s="60" t="n">
        <f aca="false">S17-AA17</f>
        <v>44.12</v>
      </c>
      <c r="AC17" s="80"/>
      <c r="AD17" s="80"/>
      <c r="AE17" s="80" t="n">
        <v>5.68</v>
      </c>
      <c r="AF17" s="80"/>
      <c r="AG17" s="80"/>
      <c r="AH17" s="80"/>
      <c r="AI17" s="83"/>
      <c r="AJ17" s="65" t="n">
        <f aca="false">SUM(AC17:AI17)</f>
        <v>5.68</v>
      </c>
      <c r="AK17" s="60" t="n">
        <f aca="false">AB17-AJ17</f>
        <v>38.44</v>
      </c>
      <c r="AL17" s="80"/>
      <c r="AM17" s="80"/>
      <c r="AN17" s="80"/>
      <c r="AO17" s="80"/>
      <c r="AP17" s="75"/>
      <c r="AQ17" s="75"/>
      <c r="AR17" s="75"/>
      <c r="AS17" s="60" t="n">
        <f aca="false">SUM(AL17:AR17)</f>
        <v>0</v>
      </c>
      <c r="AT17" s="60" t="n">
        <f aca="false">AK17-AS17</f>
        <v>38.44</v>
      </c>
    </row>
    <row r="18" customFormat="false" ht="13.5" hidden="false" customHeight="true" outlineLevel="0" collapsed="false">
      <c r="A18" s="76"/>
      <c r="B18" s="77" t="s">
        <v>28</v>
      </c>
      <c r="C18" s="77" t="s">
        <v>14</v>
      </c>
      <c r="D18" s="78" t="n">
        <v>286.550211580142</v>
      </c>
      <c r="E18" s="56" t="n">
        <v>25.6</v>
      </c>
      <c r="F18" s="79"/>
      <c r="G18" s="80"/>
      <c r="H18" s="80"/>
      <c r="I18" s="59" t="n">
        <f aca="false">SUM(F18:H18)</f>
        <v>0</v>
      </c>
      <c r="J18" s="60" t="n">
        <f aca="false">E18-I18</f>
        <v>25.6</v>
      </c>
      <c r="K18" s="80"/>
      <c r="L18" s="81"/>
      <c r="M18" s="82"/>
      <c r="N18" s="82" t="n">
        <v>1.6</v>
      </c>
      <c r="O18" s="82"/>
      <c r="P18" s="82"/>
      <c r="Q18" s="82"/>
      <c r="R18" s="59" t="n">
        <f aca="false">SUM(K18:Q18)</f>
        <v>1.6</v>
      </c>
      <c r="S18" s="60" t="n">
        <f aca="false">J18-R18</f>
        <v>24</v>
      </c>
      <c r="T18" s="82"/>
      <c r="U18" s="82"/>
      <c r="V18" s="83"/>
      <c r="W18" s="79" t="n">
        <v>6.4</v>
      </c>
      <c r="X18" s="80"/>
      <c r="Y18" s="80"/>
      <c r="Z18" s="80"/>
      <c r="AA18" s="59" t="n">
        <f aca="false">SUM(T18:Z18)</f>
        <v>6.4</v>
      </c>
      <c r="AB18" s="60" t="n">
        <f aca="false">S18-AA18</f>
        <v>17.6</v>
      </c>
      <c r="AC18" s="80"/>
      <c r="AD18" s="80"/>
      <c r="AE18" s="80" t="n">
        <v>0.64</v>
      </c>
      <c r="AF18" s="80"/>
      <c r="AG18" s="80"/>
      <c r="AH18" s="80"/>
      <c r="AI18" s="83"/>
      <c r="AJ18" s="65" t="n">
        <f aca="false">SUM(AC18:AI18)</f>
        <v>0.64</v>
      </c>
      <c r="AK18" s="60" t="n">
        <f aca="false">AB18-AJ18</f>
        <v>16.96</v>
      </c>
      <c r="AL18" s="80"/>
      <c r="AM18" s="80"/>
      <c r="AN18" s="80"/>
      <c r="AO18" s="80"/>
      <c r="AP18" s="75"/>
      <c r="AQ18" s="75"/>
      <c r="AR18" s="75"/>
      <c r="AS18" s="60" t="n">
        <f aca="false">SUM(AL18:AR18)</f>
        <v>0</v>
      </c>
      <c r="AT18" s="60" t="n">
        <f aca="false">AK18-AS18</f>
        <v>16.96</v>
      </c>
    </row>
    <row r="19" customFormat="false" ht="13.5" hidden="false" customHeight="true" outlineLevel="0" collapsed="false">
      <c r="A19" s="76"/>
      <c r="B19" s="77" t="s">
        <v>29</v>
      </c>
      <c r="C19" s="77" t="s">
        <v>14</v>
      </c>
      <c r="D19" s="78" t="n">
        <v>1002.09973753281</v>
      </c>
      <c r="E19" s="56" t="n">
        <v>5.85</v>
      </c>
      <c r="F19" s="79"/>
      <c r="G19" s="80"/>
      <c r="H19" s="80"/>
      <c r="I19" s="59" t="n">
        <f aca="false">SUM(F19:H19)</f>
        <v>0</v>
      </c>
      <c r="J19" s="60" t="n">
        <f aca="false">E19-I19</f>
        <v>5.85</v>
      </c>
      <c r="K19" s="80"/>
      <c r="L19" s="81"/>
      <c r="M19" s="82"/>
      <c r="N19" s="82"/>
      <c r="O19" s="82"/>
      <c r="P19" s="82"/>
      <c r="Q19" s="82"/>
      <c r="R19" s="59" t="n">
        <f aca="false">SUM(K19:Q19)</f>
        <v>0</v>
      </c>
      <c r="S19" s="60" t="n">
        <f aca="false">J19-R19</f>
        <v>5.85</v>
      </c>
      <c r="T19" s="82"/>
      <c r="U19" s="82"/>
      <c r="V19" s="83"/>
      <c r="W19" s="79"/>
      <c r="X19" s="80"/>
      <c r="Y19" s="80"/>
      <c r="Z19" s="80"/>
      <c r="AA19" s="59" t="n">
        <f aca="false">SUM(T19:Z19)</f>
        <v>0</v>
      </c>
      <c r="AB19" s="60" t="n">
        <f aca="false">S19-AA19</f>
        <v>5.85</v>
      </c>
      <c r="AC19" s="80"/>
      <c r="AD19" s="80"/>
      <c r="AE19" s="80"/>
      <c r="AF19" s="80"/>
      <c r="AG19" s="80"/>
      <c r="AH19" s="80"/>
      <c r="AI19" s="83"/>
      <c r="AJ19" s="65" t="n">
        <f aca="false">SUM(AC19:AI19)</f>
        <v>0</v>
      </c>
      <c r="AK19" s="60" t="n">
        <f aca="false">AB19-AJ19</f>
        <v>5.85</v>
      </c>
      <c r="AL19" s="80"/>
      <c r="AM19" s="80"/>
      <c r="AN19" s="80"/>
      <c r="AO19" s="80"/>
      <c r="AP19" s="75"/>
      <c r="AQ19" s="75"/>
      <c r="AR19" s="75"/>
      <c r="AS19" s="60" t="n">
        <f aca="false">SUM(AL19:AR19)</f>
        <v>0</v>
      </c>
      <c r="AT19" s="60" t="n">
        <f aca="false">AK19-AS19</f>
        <v>5.85</v>
      </c>
    </row>
    <row r="20" customFormat="false" ht="13.5" hidden="false" customHeight="true" outlineLevel="0" collapsed="false">
      <c r="A20" s="76"/>
      <c r="B20" s="77" t="s">
        <v>30</v>
      </c>
      <c r="C20" s="77" t="s">
        <v>14</v>
      </c>
      <c r="D20" s="78" t="n">
        <v>518</v>
      </c>
      <c r="E20" s="56" t="n">
        <v>4</v>
      </c>
      <c r="F20" s="79"/>
      <c r="G20" s="80"/>
      <c r="H20" s="80"/>
      <c r="I20" s="59" t="n">
        <f aca="false">SUM(F20:H20)</f>
        <v>0</v>
      </c>
      <c r="J20" s="60" t="n">
        <f aca="false">E20-I20</f>
        <v>4</v>
      </c>
      <c r="K20" s="80"/>
      <c r="L20" s="81"/>
      <c r="M20" s="82" t="n">
        <v>2</v>
      </c>
      <c r="N20" s="82"/>
      <c r="O20" s="82"/>
      <c r="P20" s="82" t="n">
        <v>1.4</v>
      </c>
      <c r="Q20" s="82"/>
      <c r="R20" s="59" t="n">
        <f aca="false">SUM(K20:Q20)</f>
        <v>3.4</v>
      </c>
      <c r="S20" s="60" t="n">
        <f aca="false">J20-R20+8.2</f>
        <v>8.8</v>
      </c>
      <c r="T20" s="82"/>
      <c r="U20" s="82"/>
      <c r="V20" s="83"/>
      <c r="W20" s="79"/>
      <c r="X20" s="80"/>
      <c r="Y20" s="80"/>
      <c r="Z20" s="80" t="n">
        <v>2.8</v>
      </c>
      <c r="AA20" s="59" t="n">
        <f aca="false">SUM(T20:Z20)</f>
        <v>2.8</v>
      </c>
      <c r="AB20" s="60" t="n">
        <f aca="false">S20-AA20</f>
        <v>6</v>
      </c>
      <c r="AC20" s="80"/>
      <c r="AD20" s="80"/>
      <c r="AE20" s="80"/>
      <c r="AF20" s="80"/>
      <c r="AG20" s="80"/>
      <c r="AH20" s="80"/>
      <c r="AI20" s="83"/>
      <c r="AJ20" s="65" t="n">
        <f aca="false">SUM(AC20:AI20)</f>
        <v>0</v>
      </c>
      <c r="AK20" s="60" t="n">
        <f aca="false">AB20-AJ20</f>
        <v>6</v>
      </c>
      <c r="AL20" s="80"/>
      <c r="AM20" s="80"/>
      <c r="AN20" s="80"/>
      <c r="AO20" s="80"/>
      <c r="AP20" s="75"/>
      <c r="AQ20" s="75"/>
      <c r="AR20" s="75"/>
      <c r="AS20" s="60" t="n">
        <f aca="false">SUM(AL20:AR20)</f>
        <v>0</v>
      </c>
      <c r="AT20" s="60" t="n">
        <f aca="false">AK20-AS20</f>
        <v>6</v>
      </c>
    </row>
    <row r="21" customFormat="false" ht="13.5" hidden="false" customHeight="true" outlineLevel="0" collapsed="false">
      <c r="A21" s="76"/>
      <c r="B21" s="77" t="s">
        <v>31</v>
      </c>
      <c r="C21" s="77" t="s">
        <v>16</v>
      </c>
      <c r="D21" s="78" t="n">
        <v>252.02</v>
      </c>
      <c r="E21" s="56" t="n">
        <v>21.25</v>
      </c>
      <c r="F21" s="79" t="n">
        <v>12.75</v>
      </c>
      <c r="G21" s="80"/>
      <c r="H21" s="80"/>
      <c r="I21" s="59" t="n">
        <f aca="false">SUM(F21:H21)</f>
        <v>12.75</v>
      </c>
      <c r="J21" s="60" t="n">
        <f aca="false">E21-I21</f>
        <v>8.5</v>
      </c>
      <c r="K21" s="80"/>
      <c r="L21" s="81"/>
      <c r="M21" s="82"/>
      <c r="N21" s="82"/>
      <c r="O21" s="82"/>
      <c r="P21" s="82" t="n">
        <v>13</v>
      </c>
      <c r="Q21" s="82"/>
      <c r="R21" s="59" t="n">
        <f aca="false">SUM(K21:Q21)</f>
        <v>13</v>
      </c>
      <c r="S21" s="60" t="n">
        <f aca="false">J21-R21+20.4</f>
        <v>15.9</v>
      </c>
      <c r="T21" s="82"/>
      <c r="U21" s="82"/>
      <c r="V21" s="83"/>
      <c r="W21" s="79"/>
      <c r="X21" s="80"/>
      <c r="Y21" s="80"/>
      <c r="Z21" s="80"/>
      <c r="AA21" s="59" t="n">
        <f aca="false">SUM(T21:Z21)</f>
        <v>0</v>
      </c>
      <c r="AB21" s="60" t="n">
        <f aca="false">S21-AA21</f>
        <v>15.9</v>
      </c>
      <c r="AC21" s="80"/>
      <c r="AD21" s="80"/>
      <c r="AE21" s="80" t="n">
        <v>15.9</v>
      </c>
      <c r="AF21" s="80"/>
      <c r="AG21" s="80"/>
      <c r="AH21" s="80"/>
      <c r="AI21" s="83"/>
      <c r="AJ21" s="65" t="n">
        <f aca="false">SUM(AC21:AI21)</f>
        <v>15.9</v>
      </c>
      <c r="AK21" s="60" t="n">
        <f aca="false">AB21-AJ21</f>
        <v>0</v>
      </c>
      <c r="AL21" s="80"/>
      <c r="AM21" s="80"/>
      <c r="AN21" s="80"/>
      <c r="AO21" s="80"/>
      <c r="AP21" s="75"/>
      <c r="AQ21" s="75"/>
      <c r="AR21" s="75"/>
      <c r="AS21" s="60" t="n">
        <f aca="false">SUM(AL21:AR21)</f>
        <v>0</v>
      </c>
      <c r="AT21" s="60" t="n">
        <f aca="false">AK21-AS21</f>
        <v>0</v>
      </c>
    </row>
    <row r="22" customFormat="false" ht="13.5" hidden="false" customHeight="true" outlineLevel="0" collapsed="false">
      <c r="A22" s="76"/>
      <c r="B22" s="77" t="s">
        <v>32</v>
      </c>
      <c r="C22" s="77" t="s">
        <v>14</v>
      </c>
      <c r="D22" s="78" t="n">
        <v>1450</v>
      </c>
      <c r="E22" s="56" t="n">
        <v>11.865</v>
      </c>
      <c r="F22" s="79"/>
      <c r="G22" s="80"/>
      <c r="H22" s="80"/>
      <c r="I22" s="59" t="n">
        <f aca="false">SUM(F22:H22)</f>
        <v>0</v>
      </c>
      <c r="J22" s="60" t="n">
        <f aca="false">E22-I22</f>
        <v>11.865</v>
      </c>
      <c r="K22" s="80"/>
      <c r="L22" s="81"/>
      <c r="M22" s="82" t="n">
        <v>4.7</v>
      </c>
      <c r="N22" s="82"/>
      <c r="O22" s="82" t="n">
        <v>2.115</v>
      </c>
      <c r="P22" s="82"/>
      <c r="Q22" s="82"/>
      <c r="R22" s="59" t="n">
        <f aca="false">SUM(K22:Q22)</f>
        <v>6.815</v>
      </c>
      <c r="S22" s="60" t="n">
        <f aca="false">J22-R22+13.9+2.52</f>
        <v>21.47</v>
      </c>
      <c r="T22" s="82"/>
      <c r="U22" s="82"/>
      <c r="V22" s="83"/>
      <c r="W22" s="79"/>
      <c r="X22" s="80"/>
      <c r="Y22" s="80"/>
      <c r="Z22" s="80"/>
      <c r="AA22" s="59" t="n">
        <f aca="false">SUM(T22:Z22)</f>
        <v>0</v>
      </c>
      <c r="AB22" s="60" t="n">
        <f aca="false">S22-AA22</f>
        <v>21.47</v>
      </c>
      <c r="AC22" s="80"/>
      <c r="AD22" s="80" t="n">
        <v>2.82</v>
      </c>
      <c r="AE22" s="80" t="n">
        <v>0.47</v>
      </c>
      <c r="AF22" s="80"/>
      <c r="AG22" s="80"/>
      <c r="AH22" s="80"/>
      <c r="AI22" s="83"/>
      <c r="AJ22" s="65" t="n">
        <f aca="false">SUM(AC22:AI22)</f>
        <v>3.29</v>
      </c>
      <c r="AK22" s="60" t="n">
        <f aca="false">AB22-AJ22</f>
        <v>18.18</v>
      </c>
      <c r="AL22" s="80"/>
      <c r="AM22" s="80"/>
      <c r="AN22" s="80"/>
      <c r="AO22" s="80"/>
      <c r="AP22" s="75"/>
      <c r="AQ22" s="75"/>
      <c r="AR22" s="75"/>
      <c r="AS22" s="60" t="n">
        <f aca="false">SUM(AL22:AR22)</f>
        <v>0</v>
      </c>
      <c r="AT22" s="60" t="n">
        <f aca="false">AK22-AS22</f>
        <v>18.18</v>
      </c>
    </row>
    <row r="23" customFormat="false" ht="13.5" hidden="false" customHeight="true" outlineLevel="0" collapsed="false">
      <c r="A23" s="76"/>
      <c r="B23" s="77" t="s">
        <v>33</v>
      </c>
      <c r="C23" s="77" t="s">
        <v>14</v>
      </c>
      <c r="D23" s="78" t="n">
        <v>385</v>
      </c>
      <c r="E23" s="56" t="n">
        <v>20</v>
      </c>
      <c r="F23" s="79"/>
      <c r="G23" s="80"/>
      <c r="H23" s="80"/>
      <c r="I23" s="59" t="n">
        <f aca="false">SUM(F23:H23)</f>
        <v>0</v>
      </c>
      <c r="J23" s="60" t="n">
        <f aca="false">E23-I23</f>
        <v>20</v>
      </c>
      <c r="K23" s="80"/>
      <c r="L23" s="81"/>
      <c r="M23" s="82"/>
      <c r="N23" s="82"/>
      <c r="O23" s="82"/>
      <c r="P23" s="82"/>
      <c r="Q23" s="82"/>
      <c r="R23" s="59" t="n">
        <f aca="false">SUM(K23:Q23)</f>
        <v>0</v>
      </c>
      <c r="S23" s="60" t="n">
        <f aca="false">J23-R23</f>
        <v>20</v>
      </c>
      <c r="T23" s="82"/>
      <c r="U23" s="82"/>
      <c r="V23" s="83"/>
      <c r="W23" s="79"/>
      <c r="X23" s="80"/>
      <c r="Y23" s="80"/>
      <c r="Z23" s="80"/>
      <c r="AA23" s="59" t="n">
        <f aca="false">SUM(T23:Z23)</f>
        <v>0</v>
      </c>
      <c r="AB23" s="60" t="n">
        <f aca="false">S23-AA23</f>
        <v>20</v>
      </c>
      <c r="AC23" s="80"/>
      <c r="AD23" s="80"/>
      <c r="AE23" s="80"/>
      <c r="AF23" s="80"/>
      <c r="AG23" s="80"/>
      <c r="AH23" s="80"/>
      <c r="AI23" s="83"/>
      <c r="AJ23" s="65" t="n">
        <f aca="false">SUM(AC23:AI23)</f>
        <v>0</v>
      </c>
      <c r="AK23" s="60" t="n">
        <f aca="false">AB23-AJ23</f>
        <v>20</v>
      </c>
      <c r="AL23" s="80"/>
      <c r="AM23" s="80"/>
      <c r="AN23" s="80"/>
      <c r="AO23" s="80"/>
      <c r="AP23" s="75"/>
      <c r="AQ23" s="75"/>
      <c r="AR23" s="75"/>
      <c r="AS23" s="60" t="n">
        <f aca="false">SUM(AL23:AR23)</f>
        <v>0</v>
      </c>
      <c r="AT23" s="60" t="n">
        <f aca="false">AK23-AS23</f>
        <v>20</v>
      </c>
    </row>
    <row r="24" customFormat="false" ht="13.5" hidden="false" customHeight="true" outlineLevel="0" collapsed="false">
      <c r="A24" s="76"/>
      <c r="B24" s="77" t="s">
        <v>34</v>
      </c>
      <c r="C24" s="77" t="s">
        <v>14</v>
      </c>
      <c r="D24" s="78" t="n">
        <v>179.299927378359</v>
      </c>
      <c r="E24" s="56" t="n">
        <v>0</v>
      </c>
      <c r="F24" s="79"/>
      <c r="G24" s="80"/>
      <c r="H24" s="80"/>
      <c r="I24" s="59" t="n">
        <f aca="false">SUM(F24:H24)</f>
        <v>0</v>
      </c>
      <c r="J24" s="60" t="n">
        <f aca="false">E24-I24</f>
        <v>0</v>
      </c>
      <c r="K24" s="80"/>
      <c r="L24" s="81"/>
      <c r="M24" s="82"/>
      <c r="N24" s="82"/>
      <c r="O24" s="82"/>
      <c r="P24" s="82"/>
      <c r="Q24" s="82"/>
      <c r="R24" s="59" t="n">
        <f aca="false">SUM(K24:Q24)</f>
        <v>0</v>
      </c>
      <c r="S24" s="60" t="n">
        <f aca="false">J24-R24</f>
        <v>0</v>
      </c>
      <c r="T24" s="82"/>
      <c r="U24" s="82"/>
      <c r="V24" s="83"/>
      <c r="W24" s="79"/>
      <c r="X24" s="80"/>
      <c r="Y24" s="80"/>
      <c r="Z24" s="80"/>
      <c r="AA24" s="59" t="n">
        <f aca="false">SUM(T24:Z24)</f>
        <v>0</v>
      </c>
      <c r="AB24" s="60" t="n">
        <f aca="false">S24-AA24</f>
        <v>0</v>
      </c>
      <c r="AC24" s="80"/>
      <c r="AD24" s="80"/>
      <c r="AE24" s="80"/>
      <c r="AF24" s="80"/>
      <c r="AG24" s="80"/>
      <c r="AH24" s="80"/>
      <c r="AI24" s="83"/>
      <c r="AJ24" s="65" t="n">
        <f aca="false">SUM(AC24:AI24)</f>
        <v>0</v>
      </c>
      <c r="AK24" s="60" t="n">
        <f aca="false">AB24-AJ24</f>
        <v>0</v>
      </c>
      <c r="AL24" s="80"/>
      <c r="AM24" s="80"/>
      <c r="AN24" s="80"/>
      <c r="AO24" s="80"/>
      <c r="AP24" s="75"/>
      <c r="AQ24" s="75"/>
      <c r="AR24" s="75"/>
      <c r="AS24" s="60" t="n">
        <f aca="false">SUM(AL24:AR24)</f>
        <v>0</v>
      </c>
      <c r="AT24" s="60" t="n">
        <f aca="false">AK24-AS24</f>
        <v>0</v>
      </c>
    </row>
    <row r="25" customFormat="false" ht="13.5" hidden="false" customHeight="true" outlineLevel="0" collapsed="false">
      <c r="A25" s="76"/>
      <c r="B25" s="77" t="s">
        <v>35</v>
      </c>
      <c r="C25" s="77" t="s">
        <v>14</v>
      </c>
      <c r="D25" s="78" t="n">
        <v>416.85</v>
      </c>
      <c r="E25" s="56" t="n">
        <v>35.6</v>
      </c>
      <c r="F25" s="79"/>
      <c r="G25" s="80"/>
      <c r="H25" s="80"/>
      <c r="I25" s="59" t="n">
        <f aca="false">SUM(F25:H25)</f>
        <v>0</v>
      </c>
      <c r="J25" s="60" t="n">
        <f aca="false">E25-I25</f>
        <v>35.6</v>
      </c>
      <c r="K25" s="80"/>
      <c r="L25" s="81"/>
      <c r="M25" s="82" t="n">
        <v>8.4</v>
      </c>
      <c r="N25" s="82"/>
      <c r="O25" s="82"/>
      <c r="P25" s="82"/>
      <c r="Q25" s="82"/>
      <c r="R25" s="59" t="n">
        <f aca="false">SUM(K25:Q25)</f>
        <v>8.4</v>
      </c>
      <c r="S25" s="60" t="n">
        <f aca="false">J25-R25+34</f>
        <v>61.2</v>
      </c>
      <c r="T25" s="82"/>
      <c r="U25" s="82" t="n">
        <v>4.2</v>
      </c>
      <c r="V25" s="83"/>
      <c r="W25" s="79"/>
      <c r="X25" s="80"/>
      <c r="Y25" s="80" t="n">
        <v>16.8</v>
      </c>
      <c r="Z25" s="80"/>
      <c r="AA25" s="59" t="n">
        <f aca="false">SUM(T25:Z25)</f>
        <v>21</v>
      </c>
      <c r="AB25" s="60" t="n">
        <f aca="false">S25-AA25</f>
        <v>40.2</v>
      </c>
      <c r="AC25" s="80"/>
      <c r="AD25" s="80"/>
      <c r="AE25" s="80"/>
      <c r="AF25" s="80"/>
      <c r="AG25" s="80"/>
      <c r="AH25" s="80"/>
      <c r="AI25" s="83"/>
      <c r="AJ25" s="65" t="n">
        <f aca="false">SUM(AC25:AI25)</f>
        <v>0</v>
      </c>
      <c r="AK25" s="60" t="n">
        <f aca="false">AB25-AJ25</f>
        <v>40.2</v>
      </c>
      <c r="AL25" s="80"/>
      <c r="AM25" s="80"/>
      <c r="AN25" s="80"/>
      <c r="AO25" s="80"/>
      <c r="AP25" s="75"/>
      <c r="AQ25" s="75"/>
      <c r="AR25" s="75"/>
      <c r="AS25" s="60" t="n">
        <f aca="false">SUM(AL25:AR25)</f>
        <v>0</v>
      </c>
      <c r="AT25" s="60" t="n">
        <f aca="false">AK25-AS25</f>
        <v>40.2</v>
      </c>
    </row>
    <row r="26" customFormat="false" ht="13.5" hidden="false" customHeight="true" outlineLevel="0" collapsed="false">
      <c r="A26" s="76"/>
      <c r="B26" s="77" t="s">
        <v>36</v>
      </c>
      <c r="C26" s="77" t="s">
        <v>16</v>
      </c>
      <c r="D26" s="78" t="n">
        <v>135.85</v>
      </c>
      <c r="E26" s="56" t="n">
        <v>57.36</v>
      </c>
      <c r="F26" s="79"/>
      <c r="G26" s="80"/>
      <c r="H26" s="80" t="n">
        <v>13.5</v>
      </c>
      <c r="I26" s="59" t="n">
        <f aca="false">SUM(F26:H26)</f>
        <v>13.5</v>
      </c>
      <c r="J26" s="60" t="n">
        <f aca="false">E26-I26</f>
        <v>43.86</v>
      </c>
      <c r="K26" s="80"/>
      <c r="L26" s="81" t="n">
        <v>13.5</v>
      </c>
      <c r="M26" s="82"/>
      <c r="N26" s="82" t="n">
        <v>15.18</v>
      </c>
      <c r="O26" s="82"/>
      <c r="P26" s="82" t="n">
        <v>15.18</v>
      </c>
      <c r="Q26" s="82"/>
      <c r="R26" s="59" t="n">
        <f aca="false">SUM(K26:Q26)</f>
        <v>43.86</v>
      </c>
      <c r="S26" s="60" t="n">
        <f aca="false">J26-R26+21.06</f>
        <v>21.06</v>
      </c>
      <c r="T26" s="82"/>
      <c r="U26" s="82"/>
      <c r="V26" s="83"/>
      <c r="W26" s="79" t="n">
        <v>13.5</v>
      </c>
      <c r="X26" s="80"/>
      <c r="Y26" s="80" t="n">
        <v>7.2</v>
      </c>
      <c r="Z26" s="80"/>
      <c r="AA26" s="59" t="n">
        <f aca="false">SUM(T26:Z26)</f>
        <v>20.7</v>
      </c>
      <c r="AB26" s="60" t="n">
        <f aca="false">S26-AA26</f>
        <v>0.359999999999999</v>
      </c>
      <c r="AC26" s="80"/>
      <c r="AD26" s="80"/>
      <c r="AE26" s="80"/>
      <c r="AF26" s="80"/>
      <c r="AG26" s="80"/>
      <c r="AH26" s="80"/>
      <c r="AI26" s="83"/>
      <c r="AJ26" s="65" t="n">
        <f aca="false">SUM(AC26:AI26)</f>
        <v>0</v>
      </c>
      <c r="AK26" s="60" t="n">
        <f aca="false">AB26-AJ26</f>
        <v>0.359999999999999</v>
      </c>
      <c r="AL26" s="80"/>
      <c r="AM26" s="80"/>
      <c r="AN26" s="80"/>
      <c r="AO26" s="80"/>
      <c r="AP26" s="75"/>
      <c r="AQ26" s="75"/>
      <c r="AR26" s="75"/>
      <c r="AS26" s="60" t="n">
        <f aca="false">SUM(AL26:AR26)</f>
        <v>0</v>
      </c>
      <c r="AT26" s="60" t="n">
        <f aca="false">AK26-AS26</f>
        <v>0.359999999999999</v>
      </c>
    </row>
    <row r="27" customFormat="false" ht="13.5" hidden="false" customHeight="true" outlineLevel="0" collapsed="false">
      <c r="A27" s="76"/>
      <c r="B27" s="77" t="s">
        <v>37</v>
      </c>
      <c r="C27" s="77" t="s">
        <v>23</v>
      </c>
      <c r="D27" s="78"/>
      <c r="E27" s="56" t="n">
        <v>20.3</v>
      </c>
      <c r="F27" s="79"/>
      <c r="G27" s="80"/>
      <c r="H27" s="80"/>
      <c r="I27" s="59" t="n">
        <f aca="false">SUM(F27:H27)</f>
        <v>0</v>
      </c>
      <c r="J27" s="60" t="n">
        <f aca="false">E27-I27</f>
        <v>20.3</v>
      </c>
      <c r="K27" s="80"/>
      <c r="L27" s="81"/>
      <c r="M27" s="82"/>
      <c r="N27" s="82"/>
      <c r="O27" s="82"/>
      <c r="P27" s="82" t="n">
        <v>10.3</v>
      </c>
      <c r="Q27" s="82"/>
      <c r="R27" s="59" t="n">
        <f aca="false">SUM(K27:Q27)</f>
        <v>10.3</v>
      </c>
      <c r="S27" s="60" t="n">
        <f aca="false">J27-R27</f>
        <v>10</v>
      </c>
      <c r="T27" s="82"/>
      <c r="U27" s="82"/>
      <c r="V27" s="83"/>
      <c r="W27" s="79"/>
      <c r="X27" s="80"/>
      <c r="Y27" s="80"/>
      <c r="Z27" s="80"/>
      <c r="AA27" s="59" t="n">
        <f aca="false">SUM(T27:Z27)</f>
        <v>0</v>
      </c>
      <c r="AB27" s="60" t="n">
        <f aca="false">S27-AA27</f>
        <v>10</v>
      </c>
      <c r="AC27" s="80"/>
      <c r="AD27" s="80"/>
      <c r="AE27" s="80"/>
      <c r="AF27" s="80"/>
      <c r="AG27" s="80"/>
      <c r="AH27" s="80"/>
      <c r="AI27" s="83"/>
      <c r="AJ27" s="65" t="n">
        <f aca="false">SUM(AC27:AI27)</f>
        <v>0</v>
      </c>
      <c r="AK27" s="60" t="n">
        <f aca="false">AB27-AJ27</f>
        <v>10</v>
      </c>
      <c r="AL27" s="80"/>
      <c r="AM27" s="80"/>
      <c r="AN27" s="80"/>
      <c r="AO27" s="80"/>
      <c r="AP27" s="75"/>
      <c r="AQ27" s="75"/>
      <c r="AR27" s="75"/>
      <c r="AS27" s="60" t="n">
        <f aca="false">SUM(AL27:AR27)</f>
        <v>0</v>
      </c>
      <c r="AT27" s="60" t="n">
        <f aca="false">AK27-AS27</f>
        <v>10</v>
      </c>
    </row>
    <row r="28" customFormat="false" ht="13.5" hidden="false" customHeight="true" outlineLevel="0" collapsed="false">
      <c r="A28" s="76"/>
      <c r="B28" s="77" t="s">
        <v>38</v>
      </c>
      <c r="C28" s="77" t="s">
        <v>19</v>
      </c>
      <c r="D28" s="78" t="n">
        <v>16.5</v>
      </c>
      <c r="E28" s="56" t="n">
        <v>50</v>
      </c>
      <c r="F28" s="79"/>
      <c r="G28" s="80"/>
      <c r="H28" s="80"/>
      <c r="I28" s="59" t="n">
        <f aca="false">SUM(F28:H28)</f>
        <v>0</v>
      </c>
      <c r="J28" s="60" t="n">
        <f aca="false">E28-I28</f>
        <v>50</v>
      </c>
      <c r="K28" s="80"/>
      <c r="L28" s="81"/>
      <c r="M28" s="82"/>
      <c r="N28" s="82"/>
      <c r="O28" s="82"/>
      <c r="P28" s="82"/>
      <c r="Q28" s="82"/>
      <c r="R28" s="59" t="n">
        <f aca="false">SUM(K28:Q28)</f>
        <v>0</v>
      </c>
      <c r="S28" s="60" t="n">
        <f aca="false">J28-R28</f>
        <v>50</v>
      </c>
      <c r="T28" s="82"/>
      <c r="U28" s="82"/>
      <c r="V28" s="83"/>
      <c r="W28" s="79"/>
      <c r="X28" s="80"/>
      <c r="Y28" s="80"/>
      <c r="Z28" s="80"/>
      <c r="AA28" s="59" t="n">
        <f aca="false">SUM(T28:Z28)</f>
        <v>0</v>
      </c>
      <c r="AB28" s="60" t="n">
        <f aca="false">S28-AA28</f>
        <v>50</v>
      </c>
      <c r="AC28" s="80"/>
      <c r="AD28" s="80"/>
      <c r="AE28" s="80"/>
      <c r="AF28" s="80"/>
      <c r="AG28" s="80"/>
      <c r="AH28" s="80"/>
      <c r="AI28" s="83"/>
      <c r="AJ28" s="65" t="n">
        <f aca="false">SUM(AC28:AI28)</f>
        <v>0</v>
      </c>
      <c r="AK28" s="60" t="n">
        <f aca="false">AB28-AJ28</f>
        <v>50</v>
      </c>
      <c r="AL28" s="80"/>
      <c r="AM28" s="80"/>
      <c r="AN28" s="80"/>
      <c r="AO28" s="80"/>
      <c r="AP28" s="75"/>
      <c r="AQ28" s="75"/>
      <c r="AR28" s="75"/>
      <c r="AS28" s="60" t="n">
        <f aca="false">SUM(AL28:AR28)</f>
        <v>0</v>
      </c>
      <c r="AT28" s="60" t="n">
        <f aca="false">AK28-AS28</f>
        <v>50</v>
      </c>
    </row>
    <row r="29" customFormat="false" ht="13.5" hidden="false" customHeight="true" outlineLevel="0" collapsed="false">
      <c r="A29" s="76"/>
      <c r="B29" s="77" t="s">
        <v>39</v>
      </c>
      <c r="C29" s="77" t="s">
        <v>23</v>
      </c>
      <c r="D29" s="78" t="n">
        <v>812.5</v>
      </c>
      <c r="E29" s="56" t="n">
        <v>10.15</v>
      </c>
      <c r="F29" s="79"/>
      <c r="G29" s="80"/>
      <c r="H29" s="80"/>
      <c r="I29" s="59" t="n">
        <f aca="false">SUM(F29:H29)</f>
        <v>0</v>
      </c>
      <c r="J29" s="60" t="n">
        <f aca="false">E29-I29</f>
        <v>10.15</v>
      </c>
      <c r="K29" s="80"/>
      <c r="L29" s="81"/>
      <c r="M29" s="82"/>
      <c r="N29" s="82"/>
      <c r="O29" s="82"/>
      <c r="P29" s="82"/>
      <c r="Q29" s="82"/>
      <c r="R29" s="59" t="n">
        <f aca="false">SUM(K29:Q29)</f>
        <v>0</v>
      </c>
      <c r="S29" s="60" t="n">
        <f aca="false">J29-R29</f>
        <v>10.15</v>
      </c>
      <c r="T29" s="82"/>
      <c r="U29" s="82"/>
      <c r="V29" s="83"/>
      <c r="W29" s="79"/>
      <c r="X29" s="80"/>
      <c r="Y29" s="80"/>
      <c r="Z29" s="80" t="n">
        <v>0.15</v>
      </c>
      <c r="AA29" s="59" t="n">
        <f aca="false">SUM(T29:Z29)</f>
        <v>0.15</v>
      </c>
      <c r="AB29" s="60" t="n">
        <f aca="false">S29-AA29</f>
        <v>10</v>
      </c>
      <c r="AC29" s="80"/>
      <c r="AD29" s="80"/>
      <c r="AE29" s="80"/>
      <c r="AF29" s="80"/>
      <c r="AG29" s="80"/>
      <c r="AH29" s="80"/>
      <c r="AI29" s="83"/>
      <c r="AJ29" s="65" t="n">
        <f aca="false">SUM(AC29:AI29)</f>
        <v>0</v>
      </c>
      <c r="AK29" s="60" t="n">
        <f aca="false">AB29-AJ29</f>
        <v>10</v>
      </c>
      <c r="AL29" s="80"/>
      <c r="AM29" s="80"/>
      <c r="AN29" s="80"/>
      <c r="AO29" s="80"/>
      <c r="AP29" s="75"/>
      <c r="AQ29" s="75"/>
      <c r="AR29" s="75"/>
      <c r="AS29" s="60" t="n">
        <f aca="false">SUM(AL29:AR29)</f>
        <v>0</v>
      </c>
      <c r="AT29" s="60" t="n">
        <f aca="false">AK29-AS29</f>
        <v>10</v>
      </c>
    </row>
    <row r="30" customFormat="false" ht="13.5" hidden="false" customHeight="true" outlineLevel="0" collapsed="false">
      <c r="A30" s="76"/>
      <c r="B30" s="77" t="s">
        <v>40</v>
      </c>
      <c r="C30" s="77" t="s">
        <v>14</v>
      </c>
      <c r="D30" s="78" t="n">
        <v>456.75</v>
      </c>
      <c r="E30" s="56" t="n">
        <v>16.52</v>
      </c>
      <c r="F30" s="79"/>
      <c r="G30" s="80"/>
      <c r="H30" s="80"/>
      <c r="I30" s="59" t="n">
        <f aca="false">SUM(F30:H30)</f>
        <v>0</v>
      </c>
      <c r="J30" s="60" t="n">
        <f aca="false">E30-I30</f>
        <v>16.52</v>
      </c>
      <c r="K30" s="80"/>
      <c r="L30" s="81" t="n">
        <v>2.13</v>
      </c>
      <c r="M30" s="82"/>
      <c r="N30" s="82" t="n">
        <v>9.12</v>
      </c>
      <c r="O30" s="82" t="n">
        <v>1.32</v>
      </c>
      <c r="P30" s="82"/>
      <c r="Q30" s="82"/>
      <c r="R30" s="59" t="n">
        <f aca="false">SUM(K30:Q30)</f>
        <v>12.57</v>
      </c>
      <c r="S30" s="60" t="n">
        <f aca="false">J30-R30+30+30</f>
        <v>63.95</v>
      </c>
      <c r="T30" s="82"/>
      <c r="U30" s="82"/>
      <c r="V30" s="83" t="n">
        <v>5</v>
      </c>
      <c r="W30" s="79" t="n">
        <v>1</v>
      </c>
      <c r="X30" s="80" t="n">
        <v>2.5</v>
      </c>
      <c r="Y30" s="80"/>
      <c r="Z30" s="80"/>
      <c r="AA30" s="59" t="n">
        <f aca="false">SUM(T30:Z30)</f>
        <v>8.5</v>
      </c>
      <c r="AB30" s="60" t="n">
        <f aca="false">S30-AA30</f>
        <v>55.45</v>
      </c>
      <c r="AC30" s="80" t="n">
        <v>1.5</v>
      </c>
      <c r="AD30" s="80"/>
      <c r="AE30" s="80" t="n">
        <v>5</v>
      </c>
      <c r="AF30" s="80"/>
      <c r="AG30" s="80"/>
      <c r="AH30" s="80"/>
      <c r="AI30" s="83"/>
      <c r="AJ30" s="65" t="n">
        <f aca="false">SUM(AC30:AI30)</f>
        <v>6.5</v>
      </c>
      <c r="AK30" s="60" t="n">
        <f aca="false">AB30-AJ30</f>
        <v>48.95</v>
      </c>
      <c r="AL30" s="80"/>
      <c r="AM30" s="80"/>
      <c r="AN30" s="80"/>
      <c r="AO30" s="80"/>
      <c r="AP30" s="75"/>
      <c r="AQ30" s="75"/>
      <c r="AR30" s="75"/>
      <c r="AS30" s="60" t="n">
        <f aca="false">SUM(AL30:AR30)</f>
        <v>0</v>
      </c>
      <c r="AT30" s="60" t="n">
        <f aca="false">AK30-AS30</f>
        <v>48.95</v>
      </c>
    </row>
    <row r="31" customFormat="false" ht="13.5" hidden="false" customHeight="true" outlineLevel="0" collapsed="false">
      <c r="A31" s="76"/>
      <c r="B31" s="77" t="s">
        <v>41</v>
      </c>
      <c r="C31" s="77" t="s">
        <v>14</v>
      </c>
      <c r="D31" s="78" t="n">
        <v>556.8</v>
      </c>
      <c r="E31" s="56" t="n">
        <v>18.4</v>
      </c>
      <c r="F31" s="79"/>
      <c r="G31" s="80" t="n">
        <v>3</v>
      </c>
      <c r="H31" s="80"/>
      <c r="I31" s="59" t="n">
        <f aca="false">SUM(F31:H31)</f>
        <v>3</v>
      </c>
      <c r="J31" s="60" t="n">
        <f aca="false">E31-I31</f>
        <v>15.4</v>
      </c>
      <c r="K31" s="80"/>
      <c r="L31" s="81" t="n">
        <v>2.4</v>
      </c>
      <c r="M31" s="82" t="n">
        <v>2.4</v>
      </c>
      <c r="N31" s="82"/>
      <c r="O31" s="82"/>
      <c r="P31" s="82" t="n">
        <v>4.2</v>
      </c>
      <c r="Q31" s="82"/>
      <c r="R31" s="59" t="n">
        <f aca="false">SUM(K31:Q31)</f>
        <v>9</v>
      </c>
      <c r="S31" s="60" t="n">
        <f aca="false">J31-R31+60</f>
        <v>66.4</v>
      </c>
      <c r="T31" s="82"/>
      <c r="U31" s="82"/>
      <c r="V31" s="83"/>
      <c r="W31" s="79"/>
      <c r="X31" s="80"/>
      <c r="Y31" s="80" t="n">
        <v>2.5</v>
      </c>
      <c r="Z31" s="80"/>
      <c r="AA31" s="59" t="n">
        <f aca="false">SUM(T31:Z31)</f>
        <v>2.5</v>
      </c>
      <c r="AB31" s="60" t="n">
        <f aca="false">S31-AA31</f>
        <v>63.9</v>
      </c>
      <c r="AC31" s="80"/>
      <c r="AD31" s="80"/>
      <c r="AE31" s="80" t="n">
        <v>2</v>
      </c>
      <c r="AF31" s="80"/>
      <c r="AG31" s="80"/>
      <c r="AH31" s="80"/>
      <c r="AI31" s="83"/>
      <c r="AJ31" s="65" t="n">
        <f aca="false">SUM(AC31:AI31)</f>
        <v>2</v>
      </c>
      <c r="AK31" s="60" t="n">
        <f aca="false">AB31-AJ31</f>
        <v>61.9</v>
      </c>
      <c r="AL31" s="80"/>
      <c r="AM31" s="80"/>
      <c r="AN31" s="80"/>
      <c r="AO31" s="80"/>
      <c r="AP31" s="75"/>
      <c r="AQ31" s="75"/>
      <c r="AR31" s="75"/>
      <c r="AS31" s="60" t="n">
        <f aca="false">SUM(AL31:AR31)</f>
        <v>0</v>
      </c>
      <c r="AT31" s="60" t="n">
        <f aca="false">AK31-AS31</f>
        <v>61.9</v>
      </c>
    </row>
    <row r="32" customFormat="false" ht="13.5" hidden="false" customHeight="true" outlineLevel="0" collapsed="false">
      <c r="A32" s="76"/>
      <c r="B32" s="77" t="s">
        <v>42</v>
      </c>
      <c r="C32" s="77"/>
      <c r="D32" s="78"/>
      <c r="E32" s="56" t="n">
        <v>0</v>
      </c>
      <c r="F32" s="79"/>
      <c r="G32" s="80"/>
      <c r="H32" s="80"/>
      <c r="I32" s="59" t="n">
        <f aca="false">SUM(F32:H32)</f>
        <v>0</v>
      </c>
      <c r="J32" s="60" t="n">
        <f aca="false">E32-I32</f>
        <v>0</v>
      </c>
      <c r="K32" s="80"/>
      <c r="L32" s="81"/>
      <c r="M32" s="82"/>
      <c r="N32" s="82"/>
      <c r="O32" s="82"/>
      <c r="P32" s="82"/>
      <c r="Q32" s="82"/>
      <c r="R32" s="59" t="n">
        <f aca="false">SUM(K32:Q32)</f>
        <v>0</v>
      </c>
      <c r="S32" s="60" t="n">
        <f aca="false">J32-R32</f>
        <v>0</v>
      </c>
      <c r="T32" s="82"/>
      <c r="U32" s="82"/>
      <c r="V32" s="83"/>
      <c r="W32" s="79"/>
      <c r="X32" s="80"/>
      <c r="Y32" s="80"/>
      <c r="Z32" s="80"/>
      <c r="AA32" s="59" t="n">
        <f aca="false">SUM(T32:Z32)</f>
        <v>0</v>
      </c>
      <c r="AB32" s="60" t="n">
        <f aca="false">S32-AA32</f>
        <v>0</v>
      </c>
      <c r="AC32" s="80"/>
      <c r="AD32" s="80"/>
      <c r="AE32" s="80"/>
      <c r="AF32" s="80"/>
      <c r="AG32" s="80"/>
      <c r="AH32" s="80"/>
      <c r="AI32" s="83"/>
      <c r="AJ32" s="65" t="n">
        <f aca="false">SUM(AC32:AI32)</f>
        <v>0</v>
      </c>
      <c r="AK32" s="60" t="n">
        <f aca="false">AB32-AJ32</f>
        <v>0</v>
      </c>
      <c r="AL32" s="80"/>
      <c r="AM32" s="80"/>
      <c r="AN32" s="80"/>
      <c r="AO32" s="80"/>
      <c r="AP32" s="75"/>
      <c r="AQ32" s="75"/>
      <c r="AR32" s="75"/>
      <c r="AS32" s="60" t="n">
        <f aca="false">SUM(AL32:AR32)</f>
        <v>0</v>
      </c>
      <c r="AT32" s="60" t="n">
        <f aca="false">AK32-AS32</f>
        <v>0</v>
      </c>
    </row>
    <row r="33" customFormat="false" ht="13.5" hidden="false" customHeight="true" outlineLevel="0" collapsed="false">
      <c r="A33" s="76"/>
      <c r="B33" s="77" t="s">
        <v>43</v>
      </c>
      <c r="C33" s="77" t="s">
        <v>14</v>
      </c>
      <c r="D33" s="78" t="n">
        <v>194.117711171662</v>
      </c>
      <c r="E33" s="56" t="n">
        <v>41.4</v>
      </c>
      <c r="F33" s="79" t="n">
        <v>4.8</v>
      </c>
      <c r="G33" s="80"/>
      <c r="H33" s="80" t="n">
        <v>4.8</v>
      </c>
      <c r="I33" s="59" t="n">
        <f aca="false">SUM(F33:H33)</f>
        <v>9.6</v>
      </c>
      <c r="J33" s="60" t="n">
        <f aca="false">E33-I33</f>
        <v>31.8</v>
      </c>
      <c r="K33" s="80"/>
      <c r="L33" s="81"/>
      <c r="M33" s="82"/>
      <c r="N33" s="82" t="n">
        <v>9.6</v>
      </c>
      <c r="O33" s="82"/>
      <c r="P33" s="82"/>
      <c r="Q33" s="82"/>
      <c r="R33" s="59" t="n">
        <f aca="false">SUM(K33:Q33)</f>
        <v>9.6</v>
      </c>
      <c r="S33" s="60" t="n">
        <f aca="false">J33-R33</f>
        <v>22.2</v>
      </c>
      <c r="T33" s="82"/>
      <c r="U33" s="82"/>
      <c r="V33" s="83"/>
      <c r="W33" s="79" t="n">
        <v>4.8</v>
      </c>
      <c r="X33" s="80"/>
      <c r="Y33" s="80"/>
      <c r="Z33" s="80" t="n">
        <v>4.8</v>
      </c>
      <c r="AA33" s="59" t="n">
        <f aca="false">SUM(T33:Z33)</f>
        <v>9.6</v>
      </c>
      <c r="AB33" s="60" t="n">
        <f aca="false">S33-AA33</f>
        <v>12.6</v>
      </c>
      <c r="AC33" s="80"/>
      <c r="AD33" s="80"/>
      <c r="AE33" s="80"/>
      <c r="AF33" s="80"/>
      <c r="AG33" s="80"/>
      <c r="AH33" s="80"/>
      <c r="AI33" s="83"/>
      <c r="AJ33" s="65" t="n">
        <f aca="false">SUM(AC33:AI33)</f>
        <v>0</v>
      </c>
      <c r="AK33" s="60" t="n">
        <f aca="false">AB33-AJ33</f>
        <v>12.6</v>
      </c>
      <c r="AL33" s="80"/>
      <c r="AM33" s="80"/>
      <c r="AN33" s="80"/>
      <c r="AO33" s="80"/>
      <c r="AP33" s="75"/>
      <c r="AQ33" s="75"/>
      <c r="AR33" s="75"/>
      <c r="AS33" s="60" t="n">
        <f aca="false">SUM(AL33:AR33)</f>
        <v>0</v>
      </c>
      <c r="AT33" s="60" t="n">
        <f aca="false">AK33-AS33</f>
        <v>12.6</v>
      </c>
    </row>
    <row r="34" customFormat="false" ht="13.5" hidden="false" customHeight="true" outlineLevel="0" collapsed="false">
      <c r="A34" s="76"/>
      <c r="B34" s="77" t="s">
        <v>44</v>
      </c>
      <c r="C34" s="77" t="s">
        <v>14</v>
      </c>
      <c r="D34" s="78" t="n">
        <v>370.88</v>
      </c>
      <c r="E34" s="56" t="n">
        <v>2.88</v>
      </c>
      <c r="F34" s="79"/>
      <c r="G34" s="80"/>
      <c r="H34" s="80"/>
      <c r="I34" s="59" t="n">
        <f aca="false">SUM(F34:H34)</f>
        <v>0</v>
      </c>
      <c r="J34" s="60" t="n">
        <f aca="false">E34-I34</f>
        <v>2.88</v>
      </c>
      <c r="K34" s="80"/>
      <c r="L34" s="81"/>
      <c r="M34" s="82"/>
      <c r="N34" s="82"/>
      <c r="O34" s="82"/>
      <c r="P34" s="82"/>
      <c r="Q34" s="82"/>
      <c r="R34" s="59" t="n">
        <f aca="false">SUM(K34:Q34)</f>
        <v>0</v>
      </c>
      <c r="S34" s="60" t="n">
        <f aca="false">J34-R34+14.62</f>
        <v>17.5</v>
      </c>
      <c r="T34" s="82"/>
      <c r="U34" s="82"/>
      <c r="V34" s="83"/>
      <c r="W34" s="79"/>
      <c r="X34" s="80"/>
      <c r="Y34" s="80"/>
      <c r="Z34" s="80"/>
      <c r="AA34" s="59" t="n">
        <f aca="false">SUM(T34:Z34)</f>
        <v>0</v>
      </c>
      <c r="AB34" s="60" t="n">
        <f aca="false">S34-AA34</f>
        <v>17.5</v>
      </c>
      <c r="AC34" s="80"/>
      <c r="AD34" s="80"/>
      <c r="AE34" s="80"/>
      <c r="AF34" s="80"/>
      <c r="AG34" s="80"/>
      <c r="AH34" s="80"/>
      <c r="AI34" s="83"/>
      <c r="AJ34" s="65" t="n">
        <f aca="false">SUM(AC34:AI34)</f>
        <v>0</v>
      </c>
      <c r="AK34" s="60" t="n">
        <f aca="false">AB34-AJ34</f>
        <v>17.5</v>
      </c>
      <c r="AL34" s="80"/>
      <c r="AM34" s="80"/>
      <c r="AN34" s="80"/>
      <c r="AO34" s="80"/>
      <c r="AP34" s="75"/>
      <c r="AQ34" s="75"/>
      <c r="AR34" s="75"/>
      <c r="AS34" s="60" t="n">
        <f aca="false">SUM(AL34:AR34)</f>
        <v>0</v>
      </c>
      <c r="AT34" s="60" t="n">
        <f aca="false">AK34-AS34</f>
        <v>17.5</v>
      </c>
    </row>
    <row r="35" customFormat="false" ht="13.5" hidden="false" customHeight="true" outlineLevel="0" collapsed="false">
      <c r="A35" s="76"/>
      <c r="B35" s="77" t="s">
        <v>45</v>
      </c>
      <c r="C35" s="77" t="s">
        <v>14</v>
      </c>
      <c r="D35" s="78" t="n">
        <v>167.73</v>
      </c>
      <c r="E35" s="56" t="n">
        <v>27</v>
      </c>
      <c r="F35" s="79"/>
      <c r="G35" s="80"/>
      <c r="H35" s="80"/>
      <c r="I35" s="59" t="n">
        <f aca="false">SUM(F35:H35)</f>
        <v>0</v>
      </c>
      <c r="J35" s="60" t="n">
        <f aca="false">E35-I35</f>
        <v>27</v>
      </c>
      <c r="K35" s="80"/>
      <c r="L35" s="81"/>
      <c r="M35" s="82"/>
      <c r="N35" s="82"/>
      <c r="O35" s="82"/>
      <c r="P35" s="82"/>
      <c r="Q35" s="82"/>
      <c r="R35" s="59" t="n">
        <f aca="false">SUM(K35:Q35)</f>
        <v>0</v>
      </c>
      <c r="S35" s="60" t="n">
        <f aca="false">J35-R35</f>
        <v>27</v>
      </c>
      <c r="T35" s="82"/>
      <c r="U35" s="82"/>
      <c r="V35" s="83"/>
      <c r="W35" s="79"/>
      <c r="X35" s="80"/>
      <c r="Y35" s="80"/>
      <c r="Z35" s="80" t="n">
        <v>1</v>
      </c>
      <c r="AA35" s="59" t="n">
        <f aca="false">SUM(T35:Z35)</f>
        <v>1</v>
      </c>
      <c r="AB35" s="60" t="n">
        <f aca="false">S35-AA35</f>
        <v>26</v>
      </c>
      <c r="AC35" s="80"/>
      <c r="AD35" s="80"/>
      <c r="AE35" s="80"/>
      <c r="AF35" s="80"/>
      <c r="AG35" s="80"/>
      <c r="AH35" s="80"/>
      <c r="AI35" s="83"/>
      <c r="AJ35" s="65" t="n">
        <f aca="false">SUM(AC35:AI35)</f>
        <v>0</v>
      </c>
      <c r="AK35" s="60" t="n">
        <f aca="false">AB35-AJ35</f>
        <v>26</v>
      </c>
      <c r="AL35" s="80"/>
      <c r="AM35" s="80"/>
      <c r="AN35" s="80"/>
      <c r="AO35" s="80"/>
      <c r="AP35" s="75"/>
      <c r="AQ35" s="75"/>
      <c r="AR35" s="75"/>
      <c r="AS35" s="60" t="n">
        <f aca="false">SUM(AL35:AR35)</f>
        <v>0</v>
      </c>
      <c r="AT35" s="60" t="n">
        <f aca="false">AK35-AS35</f>
        <v>26</v>
      </c>
    </row>
    <row r="36" customFormat="false" ht="13.5" hidden="false" customHeight="true" outlineLevel="0" collapsed="false">
      <c r="A36" s="76"/>
      <c r="B36" s="77" t="s">
        <v>46</v>
      </c>
      <c r="C36" s="77" t="s">
        <v>14</v>
      </c>
      <c r="D36" s="78" t="n">
        <v>188.5</v>
      </c>
      <c r="E36" s="56" t="n">
        <v>-3</v>
      </c>
      <c r="F36" s="79"/>
      <c r="G36" s="80"/>
      <c r="H36" s="80"/>
      <c r="I36" s="59" t="n">
        <f aca="false">SUM(F36:H36)</f>
        <v>0</v>
      </c>
      <c r="J36" s="60" t="n">
        <f aca="false">E36-I36</f>
        <v>-3</v>
      </c>
      <c r="K36" s="80"/>
      <c r="L36" s="81"/>
      <c r="M36" s="82"/>
      <c r="N36" s="82"/>
      <c r="O36" s="82"/>
      <c r="P36" s="82"/>
      <c r="Q36" s="82"/>
      <c r="R36" s="59" t="n">
        <f aca="false">SUM(K36:Q36)</f>
        <v>0</v>
      </c>
      <c r="S36" s="60" t="n">
        <v>20</v>
      </c>
      <c r="T36" s="82" t="n">
        <v>5</v>
      </c>
      <c r="U36" s="82" t="n">
        <v>5</v>
      </c>
      <c r="V36" s="83"/>
      <c r="W36" s="79" t="n">
        <v>5</v>
      </c>
      <c r="X36" s="80"/>
      <c r="Y36" s="80"/>
      <c r="Z36" s="80"/>
      <c r="AA36" s="59" t="n">
        <f aca="false">SUM(T36:Z36)</f>
        <v>15</v>
      </c>
      <c r="AB36" s="60" t="n">
        <f aca="false">S36-AA36</f>
        <v>5</v>
      </c>
      <c r="AC36" s="80"/>
      <c r="AD36" s="80"/>
      <c r="AE36" s="80"/>
      <c r="AF36" s="80"/>
      <c r="AG36" s="80"/>
      <c r="AH36" s="80"/>
      <c r="AI36" s="83"/>
      <c r="AJ36" s="65" t="n">
        <f aca="false">SUM(AC36:AI36)</f>
        <v>0</v>
      </c>
      <c r="AK36" s="60" t="n">
        <f aca="false">AB36-AJ36</f>
        <v>5</v>
      </c>
      <c r="AL36" s="80"/>
      <c r="AM36" s="80"/>
      <c r="AN36" s="80"/>
      <c r="AO36" s="80"/>
      <c r="AP36" s="75"/>
      <c r="AQ36" s="75"/>
      <c r="AR36" s="75"/>
      <c r="AS36" s="60" t="n">
        <f aca="false">SUM(AL36:AR36)</f>
        <v>0</v>
      </c>
      <c r="AT36" s="60" t="n">
        <f aca="false">AK36-AS36</f>
        <v>5</v>
      </c>
    </row>
    <row r="37" customFormat="false" ht="13.5" hidden="false" customHeight="true" outlineLevel="0" collapsed="false">
      <c r="A37" s="76"/>
      <c r="B37" s="77" t="s">
        <v>47</v>
      </c>
      <c r="C37" s="77" t="s">
        <v>14</v>
      </c>
      <c r="D37" s="78" t="n">
        <v>196.705882352941</v>
      </c>
      <c r="E37" s="56" t="n">
        <v>45.2</v>
      </c>
      <c r="F37" s="79" t="n">
        <v>4.8</v>
      </c>
      <c r="G37" s="80"/>
      <c r="H37" s="80"/>
      <c r="I37" s="59" t="n">
        <f aca="false">SUM(F37:H37)</f>
        <v>4.8</v>
      </c>
      <c r="J37" s="60" t="n">
        <f aca="false">E37-I37</f>
        <v>40.4</v>
      </c>
      <c r="K37" s="80"/>
      <c r="L37" s="81"/>
      <c r="M37" s="82"/>
      <c r="N37" s="82"/>
      <c r="O37" s="82"/>
      <c r="P37" s="82"/>
      <c r="Q37" s="82"/>
      <c r="R37" s="59" t="n">
        <f aca="false">SUM(K37:Q37)</f>
        <v>0</v>
      </c>
      <c r="S37" s="60" t="n">
        <f aca="false">J37-R37</f>
        <v>40.4</v>
      </c>
      <c r="T37" s="82"/>
      <c r="U37" s="82"/>
      <c r="V37" s="83"/>
      <c r="W37" s="79"/>
      <c r="X37" s="80"/>
      <c r="Y37" s="80"/>
      <c r="Z37" s="80"/>
      <c r="AA37" s="59" t="n">
        <f aca="false">SUM(T37:Z37)</f>
        <v>0</v>
      </c>
      <c r="AB37" s="60" t="n">
        <f aca="false">S37-AA37</f>
        <v>40.4</v>
      </c>
      <c r="AC37" s="80" t="n">
        <v>5.4</v>
      </c>
      <c r="AD37" s="80"/>
      <c r="AE37" s="80"/>
      <c r="AF37" s="80"/>
      <c r="AG37" s="80"/>
      <c r="AH37" s="80"/>
      <c r="AI37" s="83"/>
      <c r="AJ37" s="65" t="n">
        <f aca="false">SUM(AC37:AI37)</f>
        <v>5.4</v>
      </c>
      <c r="AK37" s="60" t="n">
        <f aca="false">AB37-AJ37</f>
        <v>35</v>
      </c>
      <c r="AL37" s="80"/>
      <c r="AM37" s="80"/>
      <c r="AN37" s="80"/>
      <c r="AO37" s="80"/>
      <c r="AP37" s="75"/>
      <c r="AQ37" s="75"/>
      <c r="AR37" s="75"/>
      <c r="AS37" s="60" t="n">
        <f aca="false">SUM(AL37:AR37)</f>
        <v>0</v>
      </c>
      <c r="AT37" s="60" t="n">
        <f aca="false">AK37-AS37</f>
        <v>35</v>
      </c>
    </row>
    <row r="38" customFormat="false" ht="13.5" hidden="false" customHeight="true" outlineLevel="0" collapsed="false">
      <c r="A38" s="76"/>
      <c r="B38" s="77" t="s">
        <v>48</v>
      </c>
      <c r="C38" s="77" t="s">
        <v>14</v>
      </c>
      <c r="D38" s="78" t="n">
        <v>346.429487179487</v>
      </c>
      <c r="E38" s="56" t="n">
        <v>7.5</v>
      </c>
      <c r="F38" s="79"/>
      <c r="G38" s="80"/>
      <c r="H38" s="80"/>
      <c r="I38" s="59" t="n">
        <f aca="false">SUM(F38:H38)</f>
        <v>0</v>
      </c>
      <c r="J38" s="60" t="n">
        <f aca="false">E38-I38</f>
        <v>7.5</v>
      </c>
      <c r="K38" s="80"/>
      <c r="L38" s="81"/>
      <c r="M38" s="82"/>
      <c r="N38" s="82"/>
      <c r="O38" s="82" t="n">
        <v>0.27</v>
      </c>
      <c r="P38" s="82"/>
      <c r="Q38" s="82"/>
      <c r="R38" s="59" t="n">
        <f aca="false">SUM(K38:Q38)</f>
        <v>0.27</v>
      </c>
      <c r="S38" s="60" t="n">
        <f aca="false">J38-R38</f>
        <v>7.23</v>
      </c>
      <c r="T38" s="82"/>
      <c r="U38" s="82"/>
      <c r="V38" s="83"/>
      <c r="W38" s="79"/>
      <c r="X38" s="80"/>
      <c r="Y38" s="80"/>
      <c r="Z38" s="80"/>
      <c r="AA38" s="59" t="n">
        <f aca="false">SUM(T38:Z38)</f>
        <v>0</v>
      </c>
      <c r="AB38" s="60" t="n">
        <f aca="false">S38-AA38</f>
        <v>7.23</v>
      </c>
      <c r="AC38" s="80"/>
      <c r="AD38" s="80"/>
      <c r="AE38" s="80"/>
      <c r="AF38" s="80"/>
      <c r="AG38" s="80"/>
      <c r="AH38" s="80"/>
      <c r="AI38" s="83"/>
      <c r="AJ38" s="65" t="n">
        <f aca="false">SUM(AC38:AI38)</f>
        <v>0</v>
      </c>
      <c r="AK38" s="60" t="n">
        <f aca="false">AB38-AJ38</f>
        <v>7.23</v>
      </c>
      <c r="AL38" s="80"/>
      <c r="AM38" s="80"/>
      <c r="AN38" s="80"/>
      <c r="AO38" s="80"/>
      <c r="AP38" s="75"/>
      <c r="AQ38" s="75"/>
      <c r="AR38" s="75"/>
      <c r="AS38" s="60" t="n">
        <f aca="false">SUM(AL38:AR38)</f>
        <v>0</v>
      </c>
      <c r="AT38" s="60" t="n">
        <f aca="false">AK38-AS38</f>
        <v>7.23</v>
      </c>
    </row>
    <row r="39" customFormat="false" ht="13.5" hidden="false" customHeight="true" outlineLevel="0" collapsed="false">
      <c r="A39" s="76"/>
      <c r="B39" s="77" t="s">
        <v>49</v>
      </c>
      <c r="C39" s="77" t="s">
        <v>14</v>
      </c>
      <c r="D39" s="78" t="n">
        <v>166.617681226766</v>
      </c>
      <c r="E39" s="56" t="n">
        <v>286</v>
      </c>
      <c r="F39" s="79"/>
      <c r="G39" s="80" t="n">
        <v>15</v>
      </c>
      <c r="H39" s="80"/>
      <c r="I39" s="59" t="n">
        <f aca="false">SUM(F39:H39)</f>
        <v>15</v>
      </c>
      <c r="J39" s="60" t="n">
        <f aca="false">E39-I39</f>
        <v>271</v>
      </c>
      <c r="K39" s="80" t="n">
        <v>12</v>
      </c>
      <c r="L39" s="81"/>
      <c r="M39" s="82"/>
      <c r="N39" s="82"/>
      <c r="O39" s="82" t="n">
        <v>9</v>
      </c>
      <c r="P39" s="82"/>
      <c r="Q39" s="82"/>
      <c r="R39" s="59" t="n">
        <f aca="false">SUM(K39:Q39)</f>
        <v>21</v>
      </c>
      <c r="S39" s="60" t="n">
        <f aca="false">J39-R39</f>
        <v>250</v>
      </c>
      <c r="T39" s="82" t="n">
        <v>6.5</v>
      </c>
      <c r="U39" s="82"/>
      <c r="V39" s="83" t="n">
        <v>1.5</v>
      </c>
      <c r="W39" s="79" t="n">
        <v>3</v>
      </c>
      <c r="X39" s="80" t="n">
        <v>6</v>
      </c>
      <c r="Y39" s="80" t="n">
        <v>9</v>
      </c>
      <c r="Z39" s="80"/>
      <c r="AA39" s="59" t="n">
        <f aca="false">SUM(T39:Z39)</f>
        <v>26</v>
      </c>
      <c r="AB39" s="60" t="n">
        <f aca="false">S39-AA39</f>
        <v>224</v>
      </c>
      <c r="AC39" s="80"/>
      <c r="AD39" s="80"/>
      <c r="AE39" s="80" t="n">
        <v>7.5</v>
      </c>
      <c r="AF39" s="80"/>
      <c r="AG39" s="80"/>
      <c r="AH39" s="80"/>
      <c r="AI39" s="83"/>
      <c r="AJ39" s="65" t="n">
        <f aca="false">SUM(AC39:AI39)</f>
        <v>7.5</v>
      </c>
      <c r="AK39" s="60" t="n">
        <f aca="false">AB39-AJ39</f>
        <v>216.5</v>
      </c>
      <c r="AL39" s="80"/>
      <c r="AM39" s="80"/>
      <c r="AN39" s="80"/>
      <c r="AO39" s="80"/>
      <c r="AP39" s="75"/>
      <c r="AQ39" s="75"/>
      <c r="AR39" s="75"/>
      <c r="AS39" s="60" t="n">
        <f aca="false">SUM(AL39:AR39)</f>
        <v>0</v>
      </c>
      <c r="AT39" s="60" t="n">
        <f aca="false">AK39-AS39</f>
        <v>216.5</v>
      </c>
    </row>
    <row r="40" customFormat="false" ht="13.5" hidden="false" customHeight="true" outlineLevel="0" collapsed="false">
      <c r="A40" s="76"/>
      <c r="B40" s="77" t="s">
        <v>50</v>
      </c>
      <c r="C40" s="77" t="s">
        <v>14</v>
      </c>
      <c r="D40" s="78" t="n">
        <v>193.386968838527</v>
      </c>
      <c r="E40" s="56" t="n">
        <v>10.5</v>
      </c>
      <c r="F40" s="79"/>
      <c r="G40" s="80"/>
      <c r="H40" s="80"/>
      <c r="I40" s="59" t="n">
        <f aca="false">SUM(F40:H40)</f>
        <v>0</v>
      </c>
      <c r="J40" s="60" t="n">
        <f aca="false">E40-I40</f>
        <v>10.5</v>
      </c>
      <c r="K40" s="80"/>
      <c r="L40" s="81"/>
      <c r="M40" s="82"/>
      <c r="N40" s="82"/>
      <c r="O40" s="82"/>
      <c r="P40" s="82"/>
      <c r="Q40" s="82"/>
      <c r="R40" s="59" t="n">
        <f aca="false">SUM(K40:Q40)</f>
        <v>0</v>
      </c>
      <c r="S40" s="60" t="n">
        <f aca="false">J40-R40</f>
        <v>10.5</v>
      </c>
      <c r="T40" s="82"/>
      <c r="U40" s="82"/>
      <c r="V40" s="83"/>
      <c r="W40" s="79"/>
      <c r="X40" s="80"/>
      <c r="Y40" s="80"/>
      <c r="Z40" s="80"/>
      <c r="AA40" s="59" t="n">
        <f aca="false">SUM(T40:Z40)</f>
        <v>0</v>
      </c>
      <c r="AB40" s="60" t="n">
        <f aca="false">S40-AA40</f>
        <v>10.5</v>
      </c>
      <c r="AC40" s="80"/>
      <c r="AD40" s="80"/>
      <c r="AE40" s="80"/>
      <c r="AF40" s="80"/>
      <c r="AG40" s="80"/>
      <c r="AH40" s="80"/>
      <c r="AI40" s="83"/>
      <c r="AJ40" s="65" t="n">
        <f aca="false">SUM(AC40:AI40)</f>
        <v>0</v>
      </c>
      <c r="AK40" s="60" t="n">
        <f aca="false">AB40-AJ40</f>
        <v>10.5</v>
      </c>
      <c r="AL40" s="80"/>
      <c r="AM40" s="80"/>
      <c r="AN40" s="80"/>
      <c r="AO40" s="80"/>
      <c r="AP40" s="75"/>
      <c r="AQ40" s="75"/>
      <c r="AR40" s="75"/>
      <c r="AS40" s="60" t="n">
        <f aca="false">SUM(AL40:AR40)</f>
        <v>0</v>
      </c>
      <c r="AT40" s="60" t="n">
        <f aca="false">AK40-AS40</f>
        <v>10.5</v>
      </c>
    </row>
    <row r="41" customFormat="false" ht="13.5" hidden="false" customHeight="true" outlineLevel="0" collapsed="false">
      <c r="A41" s="76"/>
      <c r="B41" s="77" t="s">
        <v>51</v>
      </c>
      <c r="C41" s="77" t="s">
        <v>14</v>
      </c>
      <c r="D41" s="78" t="n">
        <v>323.53</v>
      </c>
      <c r="E41" s="56"/>
      <c r="F41" s="79"/>
      <c r="G41" s="80"/>
      <c r="H41" s="80"/>
      <c r="I41" s="59"/>
      <c r="J41" s="60"/>
      <c r="K41" s="80"/>
      <c r="L41" s="81"/>
      <c r="M41" s="82"/>
      <c r="N41" s="82"/>
      <c r="O41" s="82"/>
      <c r="P41" s="82"/>
      <c r="Q41" s="82"/>
      <c r="R41" s="59"/>
      <c r="S41" s="60" t="n">
        <v>20.4</v>
      </c>
      <c r="T41" s="82"/>
      <c r="U41" s="82"/>
      <c r="V41" s="83"/>
      <c r="W41" s="79"/>
      <c r="X41" s="80" t="n">
        <v>0.85</v>
      </c>
      <c r="Y41" s="80"/>
      <c r="Z41" s="80"/>
      <c r="AA41" s="59" t="n">
        <f aca="false">SUM(T41:Z41)</f>
        <v>0.85</v>
      </c>
      <c r="AB41" s="60" t="n">
        <f aca="false">S41-AA41</f>
        <v>19.55</v>
      </c>
      <c r="AC41" s="80"/>
      <c r="AD41" s="80"/>
      <c r="AE41" s="80"/>
      <c r="AF41" s="80"/>
      <c r="AG41" s="80"/>
      <c r="AH41" s="80"/>
      <c r="AI41" s="83"/>
      <c r="AJ41" s="65" t="n">
        <f aca="false">SUM(AC41:AI41)</f>
        <v>0</v>
      </c>
      <c r="AK41" s="60" t="n">
        <f aca="false">AB41-AJ41</f>
        <v>19.55</v>
      </c>
      <c r="AL41" s="80"/>
      <c r="AM41" s="80"/>
      <c r="AN41" s="80"/>
      <c r="AO41" s="80"/>
      <c r="AP41" s="75"/>
      <c r="AQ41" s="75"/>
      <c r="AR41" s="75"/>
      <c r="AS41" s="60" t="n">
        <f aca="false">SUM(AL41:AR41)</f>
        <v>0</v>
      </c>
      <c r="AT41" s="60" t="n">
        <f aca="false">AK41-AS41</f>
        <v>19.55</v>
      </c>
    </row>
    <row r="42" customFormat="false" ht="13.5" hidden="false" customHeight="true" outlineLevel="0" collapsed="false">
      <c r="A42" s="76"/>
      <c r="B42" s="77" t="s">
        <v>52</v>
      </c>
      <c r="C42" s="77" t="s">
        <v>14</v>
      </c>
      <c r="D42" s="78" t="n">
        <v>152.867283950617</v>
      </c>
      <c r="E42" s="56" t="n">
        <v>21.4</v>
      </c>
      <c r="F42" s="79"/>
      <c r="G42" s="80"/>
      <c r="H42" s="80"/>
      <c r="I42" s="59" t="n">
        <f aca="false">SUM(F42:H42)</f>
        <v>0</v>
      </c>
      <c r="J42" s="60" t="n">
        <f aca="false">E42-I42</f>
        <v>21.4</v>
      </c>
      <c r="K42" s="80"/>
      <c r="L42" s="81"/>
      <c r="M42" s="82"/>
      <c r="N42" s="82"/>
      <c r="O42" s="82"/>
      <c r="P42" s="82"/>
      <c r="Q42" s="82"/>
      <c r="R42" s="59" t="n">
        <f aca="false">SUM(K42:Q42)</f>
        <v>0</v>
      </c>
      <c r="S42" s="60" t="n">
        <f aca="false">J42-R42</f>
        <v>21.4</v>
      </c>
      <c r="T42" s="82" t="n">
        <v>5.6</v>
      </c>
      <c r="U42" s="82"/>
      <c r="V42" s="83"/>
      <c r="W42" s="79"/>
      <c r="X42" s="80"/>
      <c r="Y42" s="80"/>
      <c r="Z42" s="80"/>
      <c r="AA42" s="59" t="n">
        <f aca="false">SUM(T42:Z42)</f>
        <v>5.6</v>
      </c>
      <c r="AB42" s="60" t="n">
        <f aca="false">S42-AA42</f>
        <v>15.8</v>
      </c>
      <c r="AC42" s="80"/>
      <c r="AD42" s="80"/>
      <c r="AE42" s="80"/>
      <c r="AF42" s="80"/>
      <c r="AG42" s="80"/>
      <c r="AH42" s="80"/>
      <c r="AI42" s="83"/>
      <c r="AJ42" s="65" t="n">
        <f aca="false">SUM(AC42:AI42)</f>
        <v>0</v>
      </c>
      <c r="AK42" s="60" t="n">
        <f aca="false">AB42-AJ42</f>
        <v>15.8</v>
      </c>
      <c r="AL42" s="80"/>
      <c r="AM42" s="80"/>
      <c r="AN42" s="80"/>
      <c r="AO42" s="80"/>
      <c r="AP42" s="75"/>
      <c r="AQ42" s="75"/>
      <c r="AR42" s="75"/>
      <c r="AS42" s="60" t="n">
        <f aca="false">SUM(AL42:AR42)</f>
        <v>0</v>
      </c>
      <c r="AT42" s="60" t="n">
        <f aca="false">AK42-AS42</f>
        <v>15.8</v>
      </c>
    </row>
    <row r="43" customFormat="false" ht="13.5" hidden="false" customHeight="true" outlineLevel="0" collapsed="false">
      <c r="A43" s="76"/>
      <c r="B43" s="77" t="s">
        <v>53</v>
      </c>
      <c r="C43" s="77" t="s">
        <v>14</v>
      </c>
      <c r="D43" s="78" t="n">
        <v>144.455492424242</v>
      </c>
      <c r="E43" s="56" t="n">
        <v>24.16</v>
      </c>
      <c r="F43" s="79"/>
      <c r="G43" s="80"/>
      <c r="H43" s="80"/>
      <c r="I43" s="59" t="n">
        <f aca="false">SUM(F43:H43)</f>
        <v>0</v>
      </c>
      <c r="J43" s="60" t="n">
        <f aca="false">E43-I43</f>
        <v>24.16</v>
      </c>
      <c r="K43" s="80"/>
      <c r="L43" s="81"/>
      <c r="M43" s="82"/>
      <c r="N43" s="82"/>
      <c r="O43" s="82"/>
      <c r="P43" s="82"/>
      <c r="Q43" s="82"/>
      <c r="R43" s="59" t="n">
        <f aca="false">SUM(K43:Q43)</f>
        <v>0</v>
      </c>
      <c r="S43" s="60" t="n">
        <f aca="false">J43-R43</f>
        <v>24.16</v>
      </c>
      <c r="T43" s="82"/>
      <c r="U43" s="82"/>
      <c r="V43" s="83"/>
      <c r="W43" s="79"/>
      <c r="X43" s="80"/>
      <c r="Y43" s="80"/>
      <c r="Z43" s="80"/>
      <c r="AA43" s="59" t="n">
        <f aca="false">SUM(T43:Z43)</f>
        <v>0</v>
      </c>
      <c r="AB43" s="60" t="n">
        <f aca="false">S43-AA43</f>
        <v>24.16</v>
      </c>
      <c r="AC43" s="80"/>
      <c r="AD43" s="80"/>
      <c r="AE43" s="80"/>
      <c r="AF43" s="80"/>
      <c r="AG43" s="80"/>
      <c r="AH43" s="80"/>
      <c r="AI43" s="83"/>
      <c r="AJ43" s="65" t="n">
        <f aca="false">SUM(AC43:AI43)</f>
        <v>0</v>
      </c>
      <c r="AK43" s="60" t="n">
        <f aca="false">AB43-AJ43</f>
        <v>24.16</v>
      </c>
      <c r="AL43" s="80"/>
      <c r="AM43" s="80"/>
      <c r="AN43" s="80"/>
      <c r="AO43" s="80"/>
      <c r="AP43" s="75"/>
      <c r="AQ43" s="75"/>
      <c r="AR43" s="75"/>
      <c r="AS43" s="60" t="n">
        <f aca="false">SUM(AL43:AR43)</f>
        <v>0</v>
      </c>
      <c r="AT43" s="60" t="n">
        <f aca="false">AK43-AS43</f>
        <v>24.16</v>
      </c>
    </row>
    <row r="44" customFormat="false" ht="13.5" hidden="false" customHeight="true" outlineLevel="0" collapsed="false">
      <c r="A44" s="76"/>
      <c r="B44" s="77" t="s">
        <v>54</v>
      </c>
      <c r="C44" s="77" t="s">
        <v>14</v>
      </c>
      <c r="D44" s="78" t="n">
        <v>510.4</v>
      </c>
      <c r="E44" s="56" t="n">
        <v>24.5</v>
      </c>
      <c r="F44" s="79"/>
      <c r="G44" s="80"/>
      <c r="H44" s="80"/>
      <c r="I44" s="59" t="n">
        <f aca="false">SUM(F44:H44)</f>
        <v>0</v>
      </c>
      <c r="J44" s="60" t="n">
        <f aca="false">E44-I44</f>
        <v>24.5</v>
      </c>
      <c r="K44" s="80"/>
      <c r="L44" s="81"/>
      <c r="M44" s="82" t="n">
        <v>2.5</v>
      </c>
      <c r="N44" s="82"/>
      <c r="O44" s="82"/>
      <c r="P44" s="82"/>
      <c r="Q44" s="82"/>
      <c r="R44" s="59" t="n">
        <f aca="false">SUM(K44:Q44)</f>
        <v>2.5</v>
      </c>
      <c r="S44" s="60" t="n">
        <f aca="false">J44-R44</f>
        <v>22</v>
      </c>
      <c r="T44" s="82"/>
      <c r="U44" s="82"/>
      <c r="V44" s="83"/>
      <c r="W44" s="79"/>
      <c r="X44" s="80"/>
      <c r="Y44" s="80"/>
      <c r="Z44" s="80"/>
      <c r="AA44" s="59" t="n">
        <f aca="false">SUM(T44:Z44)</f>
        <v>0</v>
      </c>
      <c r="AB44" s="60" t="n">
        <f aca="false">S44-AA44</f>
        <v>22</v>
      </c>
      <c r="AC44" s="80" t="n">
        <v>5</v>
      </c>
      <c r="AD44" s="80"/>
      <c r="AE44" s="80"/>
      <c r="AF44" s="80"/>
      <c r="AG44" s="80"/>
      <c r="AH44" s="80"/>
      <c r="AI44" s="83"/>
      <c r="AJ44" s="65" t="n">
        <f aca="false">SUM(AC44:AI44)</f>
        <v>5</v>
      </c>
      <c r="AK44" s="60" t="n">
        <f aca="false">AB44-AJ44</f>
        <v>17</v>
      </c>
      <c r="AL44" s="80"/>
      <c r="AM44" s="80"/>
      <c r="AN44" s="80"/>
      <c r="AO44" s="80"/>
      <c r="AP44" s="75"/>
      <c r="AQ44" s="75"/>
      <c r="AR44" s="75"/>
      <c r="AS44" s="60" t="n">
        <f aca="false">SUM(AL44:AR44)</f>
        <v>0</v>
      </c>
      <c r="AT44" s="60" t="n">
        <f aca="false">AK44-AS44</f>
        <v>17</v>
      </c>
    </row>
    <row r="45" customFormat="false" ht="13.5" hidden="false" customHeight="true" outlineLevel="0" collapsed="false">
      <c r="A45" s="76"/>
      <c r="B45" s="77" t="s">
        <v>55</v>
      </c>
      <c r="C45" s="77" t="s">
        <v>14</v>
      </c>
      <c r="D45" s="78" t="n">
        <v>162.25</v>
      </c>
      <c r="E45" s="84" t="n">
        <v>24.6</v>
      </c>
      <c r="F45" s="79"/>
      <c r="G45" s="80"/>
      <c r="H45" s="80"/>
      <c r="I45" s="59" t="n">
        <f aca="false">SUM(F45:H45)</f>
        <v>0</v>
      </c>
      <c r="J45" s="60" t="n">
        <f aca="false">E45-I45</f>
        <v>24.6</v>
      </c>
      <c r="K45" s="80" t="n">
        <v>4.44</v>
      </c>
      <c r="L45" s="81"/>
      <c r="M45" s="82"/>
      <c r="N45" s="82"/>
      <c r="O45" s="82"/>
      <c r="P45" s="82"/>
      <c r="Q45" s="82"/>
      <c r="R45" s="59" t="n">
        <f aca="false">SUM(K45:Q45)</f>
        <v>4.44</v>
      </c>
      <c r="S45" s="60" t="n">
        <f aca="false">J45-R45</f>
        <v>20.16</v>
      </c>
      <c r="T45" s="82"/>
      <c r="U45" s="82"/>
      <c r="V45" s="83"/>
      <c r="W45" s="79"/>
      <c r="X45" s="80"/>
      <c r="Y45" s="80"/>
      <c r="Z45" s="80"/>
      <c r="AA45" s="59" t="n">
        <f aca="false">SUM(T45:Z45)</f>
        <v>0</v>
      </c>
      <c r="AB45" s="60" t="n">
        <f aca="false">S45-AA45</f>
        <v>20.16</v>
      </c>
      <c r="AC45" s="80"/>
      <c r="AD45" s="80"/>
      <c r="AE45" s="80"/>
      <c r="AF45" s="80"/>
      <c r="AG45" s="80"/>
      <c r="AH45" s="80"/>
      <c r="AI45" s="83"/>
      <c r="AJ45" s="65" t="n">
        <f aca="false">SUM(AC45:AI45)</f>
        <v>0</v>
      </c>
      <c r="AK45" s="60" t="n">
        <f aca="false">AB45-AJ45</f>
        <v>20.16</v>
      </c>
      <c r="AL45" s="80"/>
      <c r="AM45" s="80"/>
      <c r="AN45" s="80"/>
      <c r="AO45" s="80"/>
      <c r="AP45" s="75"/>
      <c r="AQ45" s="75"/>
      <c r="AR45" s="75"/>
      <c r="AS45" s="60" t="n">
        <f aca="false">SUM(AL45:AR45)</f>
        <v>0</v>
      </c>
      <c r="AT45" s="60" t="n">
        <f aca="false">AK45-AS45</f>
        <v>20.16</v>
      </c>
    </row>
    <row r="46" customFormat="false" ht="13.5" hidden="false" customHeight="true" outlineLevel="0" collapsed="false">
      <c r="A46" s="76"/>
      <c r="B46" s="77" t="s">
        <v>56</v>
      </c>
      <c r="C46" s="77" t="s">
        <v>14</v>
      </c>
      <c r="D46" s="78" t="n">
        <v>693.94</v>
      </c>
      <c r="E46" s="84" t="n">
        <v>10.14</v>
      </c>
      <c r="F46" s="79"/>
      <c r="G46" s="80"/>
      <c r="H46" s="80"/>
      <c r="I46" s="59" t="n">
        <f aca="false">SUM(F46:H46)</f>
        <v>0</v>
      </c>
      <c r="J46" s="60" t="n">
        <f aca="false">E46-I46</f>
        <v>10.14</v>
      </c>
      <c r="K46" s="80"/>
      <c r="L46" s="81"/>
      <c r="M46" s="82"/>
      <c r="N46" s="82"/>
      <c r="O46" s="82"/>
      <c r="P46" s="82" t="n">
        <v>1.352</v>
      </c>
      <c r="Q46" s="82"/>
      <c r="R46" s="59" t="n">
        <f aca="false">SUM(K46:Q46)</f>
        <v>1.352</v>
      </c>
      <c r="S46" s="60" t="n">
        <f aca="false">J46-R46</f>
        <v>8.788</v>
      </c>
      <c r="T46" s="82"/>
      <c r="U46" s="82"/>
      <c r="V46" s="83"/>
      <c r="W46" s="79"/>
      <c r="X46" s="80"/>
      <c r="Y46" s="80"/>
      <c r="Z46" s="80"/>
      <c r="AA46" s="59" t="n">
        <f aca="false">SUM(T46:Z46)</f>
        <v>0</v>
      </c>
      <c r="AB46" s="60" t="n">
        <f aca="false">S46-AA46</f>
        <v>8.788</v>
      </c>
      <c r="AC46" s="80"/>
      <c r="AD46" s="80"/>
      <c r="AE46" s="80"/>
      <c r="AF46" s="80"/>
      <c r="AG46" s="80"/>
      <c r="AH46" s="80"/>
      <c r="AI46" s="83"/>
      <c r="AJ46" s="65" t="n">
        <f aca="false">SUM(AC46:AI46)</f>
        <v>0</v>
      </c>
      <c r="AK46" s="60" t="n">
        <f aca="false">AB46-AJ46</f>
        <v>8.788</v>
      </c>
      <c r="AL46" s="80"/>
      <c r="AM46" s="80"/>
      <c r="AN46" s="80"/>
      <c r="AO46" s="80"/>
      <c r="AP46" s="75"/>
      <c r="AQ46" s="75"/>
      <c r="AR46" s="75"/>
      <c r="AS46" s="60" t="n">
        <f aca="false">SUM(AL46:AR46)</f>
        <v>0</v>
      </c>
      <c r="AT46" s="60" t="n">
        <f aca="false">AK46-AS46</f>
        <v>8.788</v>
      </c>
    </row>
    <row r="47" customFormat="false" ht="13.5" hidden="false" customHeight="true" outlineLevel="0" collapsed="false">
      <c r="A47" s="76"/>
      <c r="B47" s="77" t="s">
        <v>57</v>
      </c>
      <c r="C47" s="77" t="s">
        <v>19</v>
      </c>
      <c r="D47" s="78" t="n">
        <v>11.61</v>
      </c>
      <c r="E47" s="84" t="n">
        <v>1600</v>
      </c>
      <c r="F47" s="79"/>
      <c r="G47" s="80"/>
      <c r="H47" s="80"/>
      <c r="I47" s="59" t="n">
        <f aca="false">SUM(F47:H47)</f>
        <v>0</v>
      </c>
      <c r="J47" s="60" t="n">
        <f aca="false">E47-I47</f>
        <v>1600</v>
      </c>
      <c r="K47" s="80"/>
      <c r="L47" s="81"/>
      <c r="M47" s="82"/>
      <c r="N47" s="82"/>
      <c r="O47" s="82"/>
      <c r="P47" s="82"/>
      <c r="Q47" s="82"/>
      <c r="R47" s="59" t="n">
        <f aca="false">SUM(K47:Q47)</f>
        <v>0</v>
      </c>
      <c r="S47" s="60" t="n">
        <f aca="false">J47-R47</f>
        <v>1600</v>
      </c>
      <c r="T47" s="82" t="n">
        <v>120</v>
      </c>
      <c r="U47" s="82"/>
      <c r="V47" s="83"/>
      <c r="W47" s="79"/>
      <c r="X47" s="80"/>
      <c r="Y47" s="80"/>
      <c r="Z47" s="80"/>
      <c r="AA47" s="59" t="n">
        <f aca="false">SUM(T47:Z47)</f>
        <v>120</v>
      </c>
      <c r="AB47" s="60" t="n">
        <f aca="false">S47-AA47</f>
        <v>1480</v>
      </c>
      <c r="AC47" s="80"/>
      <c r="AD47" s="80"/>
      <c r="AE47" s="80"/>
      <c r="AF47" s="80"/>
      <c r="AG47" s="80"/>
      <c r="AH47" s="80"/>
      <c r="AI47" s="83"/>
      <c r="AJ47" s="65" t="n">
        <f aca="false">SUM(AC47:AI47)</f>
        <v>0</v>
      </c>
      <c r="AK47" s="60" t="n">
        <f aca="false">AB47-AJ47</f>
        <v>1480</v>
      </c>
      <c r="AL47" s="80"/>
      <c r="AM47" s="80"/>
      <c r="AN47" s="80"/>
      <c r="AO47" s="80"/>
      <c r="AP47" s="75"/>
      <c r="AQ47" s="75"/>
      <c r="AR47" s="75"/>
      <c r="AS47" s="60" t="n">
        <f aca="false">SUM(AL47:AR47)</f>
        <v>0</v>
      </c>
      <c r="AT47" s="60" t="n">
        <f aca="false">AK47-AS47</f>
        <v>1480</v>
      </c>
    </row>
    <row r="48" customFormat="false" ht="13.5" hidden="false" customHeight="true" outlineLevel="0" collapsed="false">
      <c r="A48" s="76"/>
      <c r="B48" s="77" t="s">
        <v>58</v>
      </c>
      <c r="C48" s="77" t="s">
        <v>19</v>
      </c>
      <c r="D48" s="78" t="n">
        <v>4.79</v>
      </c>
      <c r="E48" s="84" t="n">
        <v>3600</v>
      </c>
      <c r="F48" s="79"/>
      <c r="G48" s="80"/>
      <c r="H48" s="80"/>
      <c r="I48" s="59" t="n">
        <f aca="false">SUM(F48:H48)</f>
        <v>0</v>
      </c>
      <c r="J48" s="60" t="n">
        <f aca="false">E48-I48</f>
        <v>3600</v>
      </c>
      <c r="K48" s="80"/>
      <c r="L48" s="81"/>
      <c r="M48" s="82"/>
      <c r="N48" s="82"/>
      <c r="O48" s="82"/>
      <c r="P48" s="82"/>
      <c r="Q48" s="82"/>
      <c r="R48" s="59" t="n">
        <f aca="false">SUM(K48:Q48)</f>
        <v>0</v>
      </c>
      <c r="S48" s="60" t="n">
        <f aca="false">J48-R48</f>
        <v>3600</v>
      </c>
      <c r="T48" s="82" t="n">
        <v>400</v>
      </c>
      <c r="U48" s="82"/>
      <c r="V48" s="83"/>
      <c r="W48" s="79"/>
      <c r="X48" s="80"/>
      <c r="Y48" s="80"/>
      <c r="Z48" s="80"/>
      <c r="AA48" s="59" t="n">
        <f aca="false">SUM(T48:Z48)</f>
        <v>400</v>
      </c>
      <c r="AB48" s="60" t="n">
        <f aca="false">S48-AA48</f>
        <v>3200</v>
      </c>
      <c r="AC48" s="80"/>
      <c r="AD48" s="80"/>
      <c r="AE48" s="80"/>
      <c r="AF48" s="80"/>
      <c r="AG48" s="80"/>
      <c r="AH48" s="80"/>
      <c r="AI48" s="83"/>
      <c r="AJ48" s="65" t="n">
        <f aca="false">SUM(AC48:AI48)</f>
        <v>0</v>
      </c>
      <c r="AK48" s="60" t="n">
        <f aca="false">AB48-AJ48</f>
        <v>3200</v>
      </c>
      <c r="AL48" s="80"/>
      <c r="AM48" s="80"/>
      <c r="AN48" s="80"/>
      <c r="AO48" s="80"/>
      <c r="AP48" s="75"/>
      <c r="AQ48" s="75"/>
      <c r="AR48" s="75"/>
      <c r="AS48" s="60" t="n">
        <f aca="false">SUM(AL48:AR48)</f>
        <v>0</v>
      </c>
      <c r="AT48" s="60" t="n">
        <f aca="false">AK48-AS48</f>
        <v>3200</v>
      </c>
    </row>
    <row r="49" customFormat="false" ht="13.5" hidden="false" customHeight="true" outlineLevel="0" collapsed="false">
      <c r="A49" s="76"/>
      <c r="B49" s="77" t="s">
        <v>59</v>
      </c>
      <c r="C49" s="77" t="s">
        <v>19</v>
      </c>
      <c r="D49" s="78" t="n">
        <v>5.76</v>
      </c>
      <c r="E49" s="84" t="n">
        <v>124</v>
      </c>
      <c r="F49" s="79"/>
      <c r="G49" s="80"/>
      <c r="H49" s="80"/>
      <c r="I49" s="59" t="n">
        <f aca="false">SUM(F49:H49)</f>
        <v>0</v>
      </c>
      <c r="J49" s="60" t="n">
        <f aca="false">E49-I49</f>
        <v>124</v>
      </c>
      <c r="K49" s="80"/>
      <c r="L49" s="81"/>
      <c r="M49" s="82"/>
      <c r="N49" s="82"/>
      <c r="O49" s="82"/>
      <c r="P49" s="82"/>
      <c r="Q49" s="82"/>
      <c r="R49" s="59" t="n">
        <f aca="false">SUM(K49:Q49)</f>
        <v>0</v>
      </c>
      <c r="S49" s="60" t="n">
        <f aca="false">J49-R49</f>
        <v>124</v>
      </c>
      <c r="T49" s="82" t="n">
        <v>124</v>
      </c>
      <c r="U49" s="82"/>
      <c r="V49" s="83"/>
      <c r="W49" s="79"/>
      <c r="X49" s="80"/>
      <c r="Y49" s="80"/>
      <c r="Z49" s="80"/>
      <c r="AA49" s="59" t="n">
        <f aca="false">SUM(T49:Z49)</f>
        <v>124</v>
      </c>
      <c r="AB49" s="60" t="n">
        <f aca="false">S49-AA49</f>
        <v>0</v>
      </c>
      <c r="AC49" s="80"/>
      <c r="AD49" s="80"/>
      <c r="AE49" s="80"/>
      <c r="AF49" s="80"/>
      <c r="AG49" s="80"/>
      <c r="AH49" s="80"/>
      <c r="AI49" s="83"/>
      <c r="AJ49" s="65" t="n">
        <f aca="false">SUM(AC49:AI49)</f>
        <v>0</v>
      </c>
      <c r="AK49" s="60" t="n">
        <f aca="false">AB49-AJ49</f>
        <v>0</v>
      </c>
      <c r="AL49" s="80"/>
      <c r="AM49" s="80"/>
      <c r="AN49" s="80"/>
      <c r="AO49" s="80"/>
      <c r="AP49" s="75"/>
      <c r="AQ49" s="75"/>
      <c r="AR49" s="75"/>
      <c r="AS49" s="60" t="n">
        <f aca="false">SUM(AL49:AR49)</f>
        <v>0</v>
      </c>
      <c r="AT49" s="60" t="n">
        <f aca="false">AK49-AS49</f>
        <v>0</v>
      </c>
    </row>
    <row r="50" customFormat="false" ht="13.5" hidden="false" customHeight="true" outlineLevel="0" collapsed="false">
      <c r="A50" s="76"/>
      <c r="B50" s="77" t="s">
        <v>60</v>
      </c>
      <c r="C50" s="77" t="s">
        <v>14</v>
      </c>
      <c r="D50" s="78" t="n">
        <v>2333.42218246869</v>
      </c>
      <c r="E50" s="84" t="n">
        <v>9.9</v>
      </c>
      <c r="F50" s="79"/>
      <c r="G50" s="80"/>
      <c r="H50" s="80"/>
      <c r="I50" s="59" t="n">
        <f aca="false">SUM(F50:H50)</f>
        <v>0</v>
      </c>
      <c r="J50" s="60" t="n">
        <f aca="false">E50-I50</f>
        <v>9.9</v>
      </c>
      <c r="K50" s="80"/>
      <c r="L50" s="81"/>
      <c r="M50" s="82"/>
      <c r="N50" s="82"/>
      <c r="O50" s="82" t="n">
        <v>0.9</v>
      </c>
      <c r="P50" s="82"/>
      <c r="Q50" s="82"/>
      <c r="R50" s="59" t="n">
        <f aca="false">SUM(K50:Q50)</f>
        <v>0.9</v>
      </c>
      <c r="S50" s="60" t="n">
        <f aca="false">J50-R50</f>
        <v>9</v>
      </c>
      <c r="T50" s="82"/>
      <c r="U50" s="82"/>
      <c r="V50" s="83" t="n">
        <v>0.9</v>
      </c>
      <c r="W50" s="79"/>
      <c r="X50" s="80"/>
      <c r="Y50" s="80" t="n">
        <v>0.9</v>
      </c>
      <c r="Z50" s="80"/>
      <c r="AA50" s="59" t="n">
        <f aca="false">SUM(T50:Z50)</f>
        <v>1.8</v>
      </c>
      <c r="AB50" s="60" t="n">
        <f aca="false">S50-AA50</f>
        <v>7.2</v>
      </c>
      <c r="AC50" s="80" t="n">
        <v>0.9</v>
      </c>
      <c r="AD50" s="80"/>
      <c r="AE50" s="80"/>
      <c r="AF50" s="80"/>
      <c r="AG50" s="80"/>
      <c r="AH50" s="80"/>
      <c r="AI50" s="83"/>
      <c r="AJ50" s="65" t="n">
        <f aca="false">SUM(AC50:AI50)</f>
        <v>0.9</v>
      </c>
      <c r="AK50" s="60" t="n">
        <f aca="false">AB50-AJ50</f>
        <v>6.3</v>
      </c>
      <c r="AL50" s="80"/>
      <c r="AM50" s="80"/>
      <c r="AN50" s="80"/>
      <c r="AO50" s="80"/>
      <c r="AP50" s="75"/>
      <c r="AQ50" s="75"/>
      <c r="AR50" s="75"/>
      <c r="AS50" s="60" t="n">
        <f aca="false">SUM(AL50:AR50)</f>
        <v>0</v>
      </c>
      <c r="AT50" s="60" t="n">
        <f aca="false">AK50-AS50</f>
        <v>6.3</v>
      </c>
    </row>
    <row r="51" customFormat="false" ht="13.5" hidden="false" customHeight="true" outlineLevel="0" collapsed="false">
      <c r="A51" s="76"/>
      <c r="B51" s="77" t="s">
        <v>61</v>
      </c>
      <c r="C51" s="77" t="s">
        <v>23</v>
      </c>
      <c r="D51" s="78"/>
      <c r="E51" s="84" t="n">
        <v>2.4</v>
      </c>
      <c r="F51" s="79"/>
      <c r="G51" s="80"/>
      <c r="H51" s="80"/>
      <c r="I51" s="59" t="n">
        <f aca="false">SUM(F51:H51)</f>
        <v>0</v>
      </c>
      <c r="J51" s="60" t="n">
        <f aca="false">E51-I51</f>
        <v>2.4</v>
      </c>
      <c r="K51" s="80"/>
      <c r="L51" s="81"/>
      <c r="M51" s="82"/>
      <c r="N51" s="82"/>
      <c r="O51" s="82"/>
      <c r="P51" s="82"/>
      <c r="Q51" s="82"/>
      <c r="R51" s="59" t="n">
        <f aca="false">SUM(K51:Q51)</f>
        <v>0</v>
      </c>
      <c r="S51" s="60" t="n">
        <f aca="false">J51-R51</f>
        <v>2.4</v>
      </c>
      <c r="T51" s="82"/>
      <c r="U51" s="82"/>
      <c r="V51" s="83"/>
      <c r="W51" s="79"/>
      <c r="X51" s="80"/>
      <c r="Y51" s="80"/>
      <c r="Z51" s="80"/>
      <c r="AA51" s="59" t="n">
        <f aca="false">SUM(T51:Z51)</f>
        <v>0</v>
      </c>
      <c r="AB51" s="60" t="n">
        <f aca="false">S51-AA51</f>
        <v>2.4</v>
      </c>
      <c r="AC51" s="80"/>
      <c r="AD51" s="80"/>
      <c r="AE51" s="80"/>
      <c r="AF51" s="80"/>
      <c r="AG51" s="80"/>
      <c r="AH51" s="80"/>
      <c r="AI51" s="83"/>
      <c r="AJ51" s="65" t="n">
        <f aca="false">SUM(AC51:AI51)</f>
        <v>0</v>
      </c>
      <c r="AK51" s="60" t="n">
        <f aca="false">AB51-AJ51</f>
        <v>2.4</v>
      </c>
      <c r="AL51" s="80"/>
      <c r="AM51" s="80"/>
      <c r="AN51" s="80"/>
      <c r="AO51" s="80"/>
      <c r="AP51" s="75"/>
      <c r="AQ51" s="75"/>
      <c r="AR51" s="75"/>
      <c r="AS51" s="60" t="n">
        <f aca="false">SUM(AL51:AR51)</f>
        <v>0</v>
      </c>
      <c r="AT51" s="60" t="n">
        <f aca="false">AK51-AS51</f>
        <v>2.4</v>
      </c>
    </row>
    <row r="52" customFormat="false" ht="13.5" hidden="false" customHeight="true" outlineLevel="0" collapsed="false">
      <c r="A52" s="76"/>
      <c r="B52" s="77" t="s">
        <v>62</v>
      </c>
      <c r="C52" s="77" t="s">
        <v>14</v>
      </c>
      <c r="D52" s="78" t="n">
        <v>220</v>
      </c>
      <c r="E52" s="84" t="n">
        <v>11.4</v>
      </c>
      <c r="F52" s="79"/>
      <c r="G52" s="80"/>
      <c r="H52" s="80"/>
      <c r="I52" s="59" t="n">
        <f aca="false">SUM(F52:H52)</f>
        <v>0</v>
      </c>
      <c r="J52" s="60" t="n">
        <f aca="false">E52-I52</f>
        <v>11.4</v>
      </c>
      <c r="K52" s="80"/>
      <c r="L52" s="81"/>
      <c r="M52" s="82"/>
      <c r="N52" s="82"/>
      <c r="O52" s="82"/>
      <c r="P52" s="82"/>
      <c r="Q52" s="82"/>
      <c r="R52" s="59" t="n">
        <f aca="false">SUM(K52:Q52)</f>
        <v>0</v>
      </c>
      <c r="S52" s="60" t="n">
        <f aca="false">J52-R52+18</f>
        <v>29.4</v>
      </c>
      <c r="T52" s="82"/>
      <c r="U52" s="82"/>
      <c r="V52" s="83"/>
      <c r="W52" s="79"/>
      <c r="X52" s="80"/>
      <c r="Y52" s="80"/>
      <c r="Z52" s="80"/>
      <c r="AA52" s="59" t="n">
        <f aca="false">SUM(T52:Z52)</f>
        <v>0</v>
      </c>
      <c r="AB52" s="60" t="n">
        <f aca="false">S52-AA52</f>
        <v>29.4</v>
      </c>
      <c r="AC52" s="80"/>
      <c r="AD52" s="80"/>
      <c r="AE52" s="80" t="n">
        <v>5.7</v>
      </c>
      <c r="AF52" s="80"/>
      <c r="AG52" s="80"/>
      <c r="AH52" s="80"/>
      <c r="AI52" s="83"/>
      <c r="AJ52" s="65" t="n">
        <f aca="false">SUM(AC52:AI52)</f>
        <v>5.7</v>
      </c>
      <c r="AK52" s="60" t="n">
        <f aca="false">AB52-AJ52</f>
        <v>23.7</v>
      </c>
      <c r="AL52" s="80"/>
      <c r="AM52" s="80"/>
      <c r="AN52" s="80"/>
      <c r="AO52" s="80"/>
      <c r="AP52" s="75"/>
      <c r="AQ52" s="75"/>
      <c r="AR52" s="75"/>
      <c r="AS52" s="60" t="n">
        <f aca="false">SUM(AL52:AR52)</f>
        <v>0</v>
      </c>
      <c r="AT52" s="60" t="n">
        <f aca="false">AK52-AS52</f>
        <v>23.7</v>
      </c>
    </row>
    <row r="53" customFormat="false" ht="13.5" hidden="false" customHeight="true" outlineLevel="0" collapsed="false">
      <c r="A53" s="85"/>
      <c r="B53" s="86" t="s">
        <v>63</v>
      </c>
      <c r="C53" s="86" t="s">
        <v>14</v>
      </c>
      <c r="D53" s="87" t="n">
        <v>178.2</v>
      </c>
      <c r="E53" s="88" t="n">
        <v>138</v>
      </c>
      <c r="F53" s="79"/>
      <c r="G53" s="80"/>
      <c r="H53" s="80"/>
      <c r="I53" s="59" t="n">
        <f aca="false">SUM(F53:H53)</f>
        <v>0</v>
      </c>
      <c r="J53" s="60" t="n">
        <f aca="false">E53-I53</f>
        <v>138</v>
      </c>
      <c r="K53" s="80" t="n">
        <v>20</v>
      </c>
      <c r="L53" s="81"/>
      <c r="M53" s="82"/>
      <c r="N53" s="82" t="n">
        <v>20</v>
      </c>
      <c r="O53" s="82"/>
      <c r="P53" s="82"/>
      <c r="Q53" s="82"/>
      <c r="R53" s="59" t="n">
        <f aca="false">SUM(K53:Q53)</f>
        <v>40</v>
      </c>
      <c r="S53" s="60" t="n">
        <f aca="false">J53-R53</f>
        <v>98</v>
      </c>
      <c r="T53" s="82" t="n">
        <v>20</v>
      </c>
      <c r="U53" s="82"/>
      <c r="V53" s="83"/>
      <c r="W53" s="79"/>
      <c r="X53" s="80"/>
      <c r="Y53" s="80"/>
      <c r="Z53" s="80" t="n">
        <v>3</v>
      </c>
      <c r="AA53" s="59" t="n">
        <f aca="false">SUM(T53:Z53)</f>
        <v>23</v>
      </c>
      <c r="AB53" s="60" t="n">
        <f aca="false">S53-AA53</f>
        <v>75</v>
      </c>
      <c r="AC53" s="80"/>
      <c r="AD53" s="80"/>
      <c r="AE53" s="80"/>
      <c r="AF53" s="80"/>
      <c r="AG53" s="80"/>
      <c r="AH53" s="80"/>
      <c r="AI53" s="83"/>
      <c r="AJ53" s="65" t="n">
        <f aca="false">SUM(AC53:AI53)</f>
        <v>0</v>
      </c>
      <c r="AK53" s="60" t="n">
        <f aca="false">AB53-AJ53</f>
        <v>75</v>
      </c>
      <c r="AL53" s="80"/>
      <c r="AM53" s="80"/>
      <c r="AN53" s="80"/>
      <c r="AO53" s="80"/>
      <c r="AP53" s="75"/>
      <c r="AQ53" s="75"/>
      <c r="AR53" s="75"/>
      <c r="AS53" s="60" t="n">
        <f aca="false">SUM(AL53:AR53)</f>
        <v>0</v>
      </c>
      <c r="AT53" s="60" t="n">
        <f aca="false">AK53-AS53</f>
        <v>75</v>
      </c>
    </row>
    <row r="54" customFormat="false" ht="13.5" hidden="false" customHeight="true" outlineLevel="0" collapsed="false">
      <c r="A54" s="85"/>
      <c r="B54" s="86" t="s">
        <v>64</v>
      </c>
      <c r="C54" s="86" t="s">
        <v>14</v>
      </c>
      <c r="D54" s="87" t="n">
        <v>42.8998846597463</v>
      </c>
      <c r="E54" s="88" t="n">
        <v>141.45</v>
      </c>
      <c r="F54" s="79"/>
      <c r="G54" s="80"/>
      <c r="H54" s="80"/>
      <c r="I54" s="59" t="n">
        <f aca="false">SUM(F54:H54)</f>
        <v>0</v>
      </c>
      <c r="J54" s="60" t="n">
        <f aca="false">E54-I54</f>
        <v>141.45</v>
      </c>
      <c r="K54" s="80"/>
      <c r="L54" s="81"/>
      <c r="M54" s="82"/>
      <c r="N54" s="82"/>
      <c r="O54" s="82"/>
      <c r="P54" s="82"/>
      <c r="Q54" s="82"/>
      <c r="R54" s="59" t="n">
        <f aca="false">SUM(K54:Q54)</f>
        <v>0</v>
      </c>
      <c r="S54" s="60" t="n">
        <f aca="false">J54-R54</f>
        <v>141.45</v>
      </c>
      <c r="T54" s="82"/>
      <c r="U54" s="82"/>
      <c r="V54" s="83"/>
      <c r="W54" s="79"/>
      <c r="X54" s="80"/>
      <c r="Y54" s="80"/>
      <c r="Z54" s="80"/>
      <c r="AA54" s="59" t="n">
        <f aca="false">SUM(T54:Z54)</f>
        <v>0</v>
      </c>
      <c r="AB54" s="60" t="n">
        <f aca="false">S54-AA54</f>
        <v>141.45</v>
      </c>
      <c r="AC54" s="80" t="n">
        <v>25</v>
      </c>
      <c r="AD54" s="80"/>
      <c r="AE54" s="80"/>
      <c r="AF54" s="80"/>
      <c r="AG54" s="80"/>
      <c r="AH54" s="80"/>
      <c r="AI54" s="83"/>
      <c r="AJ54" s="65" t="n">
        <f aca="false">SUM(AC54:AI54)</f>
        <v>25</v>
      </c>
      <c r="AK54" s="60" t="n">
        <f aca="false">AB54-AJ54</f>
        <v>116.45</v>
      </c>
      <c r="AL54" s="80"/>
      <c r="AM54" s="80"/>
      <c r="AN54" s="80"/>
      <c r="AO54" s="80"/>
      <c r="AP54" s="75"/>
      <c r="AQ54" s="75"/>
      <c r="AR54" s="75"/>
      <c r="AS54" s="60" t="n">
        <f aca="false">SUM(AL54:AR54)</f>
        <v>0</v>
      </c>
      <c r="AT54" s="60" t="n">
        <f aca="false">AK54-AS54</f>
        <v>116.45</v>
      </c>
    </row>
    <row r="55" customFormat="false" ht="13.5" hidden="false" customHeight="true" outlineLevel="0" collapsed="false">
      <c r="A55" s="85"/>
      <c r="B55" s="86" t="s">
        <v>65</v>
      </c>
      <c r="C55" s="86" t="s">
        <v>14</v>
      </c>
      <c r="D55" s="87" t="n">
        <v>46.2</v>
      </c>
      <c r="E55" s="88" t="n">
        <v>165.95</v>
      </c>
      <c r="F55" s="79"/>
      <c r="G55" s="80"/>
      <c r="H55" s="80"/>
      <c r="I55" s="59" t="n">
        <f aca="false">SUM(F55:H55)</f>
        <v>0</v>
      </c>
      <c r="J55" s="60" t="n">
        <f aca="false">E55-I55</f>
        <v>165.95</v>
      </c>
      <c r="K55" s="80"/>
      <c r="L55" s="81"/>
      <c r="M55" s="82"/>
      <c r="N55" s="82"/>
      <c r="O55" s="82"/>
      <c r="P55" s="82" t="n">
        <v>25</v>
      </c>
      <c r="Q55" s="82"/>
      <c r="R55" s="59" t="n">
        <f aca="false">SUM(K55:Q55)</f>
        <v>25</v>
      </c>
      <c r="S55" s="60" t="n">
        <f aca="false">J55-R55</f>
        <v>140.95</v>
      </c>
      <c r="T55" s="82"/>
      <c r="U55" s="82"/>
      <c r="V55" s="83"/>
      <c r="W55" s="79"/>
      <c r="X55" s="80" t="n">
        <v>25</v>
      </c>
      <c r="Y55" s="80"/>
      <c r="Z55" s="80"/>
      <c r="AA55" s="59" t="n">
        <f aca="false">SUM(T55:Z55)</f>
        <v>25</v>
      </c>
      <c r="AB55" s="60" t="n">
        <f aca="false">S55-AA55</f>
        <v>115.95</v>
      </c>
      <c r="AC55" s="80"/>
      <c r="AD55" s="80"/>
      <c r="AE55" s="80"/>
      <c r="AF55" s="80"/>
      <c r="AG55" s="80"/>
      <c r="AH55" s="80"/>
      <c r="AI55" s="83"/>
      <c r="AJ55" s="65" t="n">
        <f aca="false">SUM(AC55:AI55)</f>
        <v>0</v>
      </c>
      <c r="AK55" s="60" t="n">
        <f aca="false">AB55-AJ55</f>
        <v>115.95</v>
      </c>
      <c r="AL55" s="80"/>
      <c r="AM55" s="80"/>
      <c r="AN55" s="80"/>
      <c r="AO55" s="80"/>
      <c r="AP55" s="75"/>
      <c r="AQ55" s="75"/>
      <c r="AR55" s="75"/>
      <c r="AS55" s="60" t="n">
        <f aca="false">SUM(AL55:AR55)</f>
        <v>0</v>
      </c>
      <c r="AT55" s="60" t="n">
        <f aca="false">AK55-AS55</f>
        <v>115.95</v>
      </c>
    </row>
    <row r="56" customFormat="false" ht="13.5" hidden="false" customHeight="true" outlineLevel="0" collapsed="false">
      <c r="A56" s="85"/>
      <c r="B56" s="86" t="s">
        <v>66</v>
      </c>
      <c r="C56" s="86" t="s">
        <v>14</v>
      </c>
      <c r="D56" s="87" t="n">
        <v>47.5199797673242</v>
      </c>
      <c r="E56" s="88" t="n">
        <v>103.9</v>
      </c>
      <c r="F56" s="79"/>
      <c r="G56" s="80"/>
      <c r="H56" s="80"/>
      <c r="I56" s="59" t="n">
        <f aca="false">SUM(F56:H56)</f>
        <v>0</v>
      </c>
      <c r="J56" s="60" t="n">
        <f aca="false">E56-I56</f>
        <v>103.9</v>
      </c>
      <c r="K56" s="80" t="n">
        <v>24</v>
      </c>
      <c r="L56" s="81"/>
      <c r="M56" s="82"/>
      <c r="N56" s="82"/>
      <c r="O56" s="82"/>
      <c r="P56" s="82"/>
      <c r="Q56" s="82"/>
      <c r="R56" s="59" t="n">
        <f aca="false">SUM(K56:Q56)</f>
        <v>24</v>
      </c>
      <c r="S56" s="60" t="n">
        <f aca="false">J56-R56</f>
        <v>79.9</v>
      </c>
      <c r="T56" s="82"/>
      <c r="U56" s="82"/>
      <c r="V56" s="83"/>
      <c r="W56" s="79"/>
      <c r="X56" s="80"/>
      <c r="Y56" s="80"/>
      <c r="Z56" s="80"/>
      <c r="AA56" s="59" t="n">
        <f aca="false">SUM(T56:Z56)</f>
        <v>0</v>
      </c>
      <c r="AB56" s="60" t="n">
        <f aca="false">S56-AA56</f>
        <v>79.9</v>
      </c>
      <c r="AC56" s="80"/>
      <c r="AD56" s="80"/>
      <c r="AE56" s="80"/>
      <c r="AF56" s="80"/>
      <c r="AG56" s="80"/>
      <c r="AH56" s="80"/>
      <c r="AI56" s="83"/>
      <c r="AJ56" s="65" t="n">
        <f aca="false">SUM(AC56:AI56)</f>
        <v>0</v>
      </c>
      <c r="AK56" s="60" t="n">
        <f aca="false">AB56-AJ56</f>
        <v>79.9</v>
      </c>
      <c r="AL56" s="80"/>
      <c r="AM56" s="80"/>
      <c r="AN56" s="80"/>
      <c r="AO56" s="80"/>
      <c r="AP56" s="75"/>
      <c r="AQ56" s="75"/>
      <c r="AR56" s="75"/>
      <c r="AS56" s="60" t="n">
        <f aca="false">SUM(AL56:AR56)</f>
        <v>0</v>
      </c>
      <c r="AT56" s="60" t="n">
        <f aca="false">AK56-AS56</f>
        <v>79.9</v>
      </c>
    </row>
    <row r="57" customFormat="false" ht="13.5" hidden="false" customHeight="true" outlineLevel="0" collapsed="false">
      <c r="A57" s="76"/>
      <c r="B57" s="77" t="s">
        <v>67</v>
      </c>
      <c r="C57" s="77"/>
      <c r="D57" s="78"/>
      <c r="E57" s="84" t="n">
        <v>0.9</v>
      </c>
      <c r="F57" s="79"/>
      <c r="G57" s="80"/>
      <c r="H57" s="80"/>
      <c r="I57" s="59" t="n">
        <f aca="false">SUM(F57:H57)</f>
        <v>0</v>
      </c>
      <c r="J57" s="60" t="n">
        <f aca="false">E57-I57</f>
        <v>0.9</v>
      </c>
      <c r="K57" s="80"/>
      <c r="L57" s="81"/>
      <c r="M57" s="82"/>
      <c r="N57" s="82"/>
      <c r="O57" s="82"/>
      <c r="P57" s="82"/>
      <c r="Q57" s="82"/>
      <c r="R57" s="59" t="n">
        <f aca="false">SUM(K57:Q57)</f>
        <v>0</v>
      </c>
      <c r="S57" s="60" t="n">
        <f aca="false">J57-R57</f>
        <v>0.9</v>
      </c>
      <c r="T57" s="82"/>
      <c r="U57" s="82"/>
      <c r="V57" s="83"/>
      <c r="W57" s="79"/>
      <c r="X57" s="80"/>
      <c r="Y57" s="80"/>
      <c r="Z57" s="80"/>
      <c r="AA57" s="59" t="n">
        <f aca="false">SUM(T57:Z57)</f>
        <v>0</v>
      </c>
      <c r="AB57" s="60" t="n">
        <f aca="false">S57-AA57</f>
        <v>0.9</v>
      </c>
      <c r="AC57" s="80"/>
      <c r="AD57" s="80"/>
      <c r="AE57" s="80"/>
      <c r="AF57" s="80"/>
      <c r="AG57" s="80"/>
      <c r="AH57" s="80"/>
      <c r="AI57" s="83"/>
      <c r="AJ57" s="65" t="n">
        <f aca="false">SUM(AC57:AI57)</f>
        <v>0</v>
      </c>
      <c r="AK57" s="60" t="n">
        <f aca="false">AB57-AJ57</f>
        <v>0.9</v>
      </c>
      <c r="AL57" s="80"/>
      <c r="AM57" s="80"/>
      <c r="AN57" s="80"/>
      <c r="AO57" s="80"/>
      <c r="AP57" s="75"/>
      <c r="AQ57" s="75"/>
      <c r="AR57" s="75"/>
      <c r="AS57" s="60" t="n">
        <f aca="false">SUM(AL57:AR57)</f>
        <v>0</v>
      </c>
      <c r="AT57" s="60" t="n">
        <f aca="false">AK57-AS57</f>
        <v>0.9</v>
      </c>
    </row>
    <row r="58" customFormat="false" ht="13.5" hidden="false" customHeight="true" outlineLevel="0" collapsed="false">
      <c r="A58" s="76"/>
      <c r="B58" s="77" t="s">
        <v>68</v>
      </c>
      <c r="C58" s="77" t="s">
        <v>14</v>
      </c>
      <c r="D58" s="78" t="n">
        <v>47.2999478351591</v>
      </c>
      <c r="E58" s="84" t="n">
        <v>57</v>
      </c>
      <c r="F58" s="79"/>
      <c r="G58" s="80"/>
      <c r="H58" s="80"/>
      <c r="I58" s="59" t="n">
        <f aca="false">SUM(F58:H58)</f>
        <v>0</v>
      </c>
      <c r="J58" s="60" t="n">
        <f aca="false">E58-I58</f>
        <v>57</v>
      </c>
      <c r="K58" s="80"/>
      <c r="L58" s="81"/>
      <c r="M58" s="82"/>
      <c r="N58" s="82"/>
      <c r="O58" s="82"/>
      <c r="P58" s="82"/>
      <c r="Q58" s="82"/>
      <c r="R58" s="59" t="n">
        <f aca="false">SUM(K58:Q58)</f>
        <v>0</v>
      </c>
      <c r="S58" s="60" t="n">
        <f aca="false">J58-R58+100</f>
        <v>157</v>
      </c>
      <c r="T58" s="82"/>
      <c r="U58" s="82"/>
      <c r="V58" s="83"/>
      <c r="W58" s="79"/>
      <c r="X58" s="80"/>
      <c r="Y58" s="80"/>
      <c r="Z58" s="80"/>
      <c r="AA58" s="59" t="n">
        <f aca="false">SUM(T58:Z58)</f>
        <v>0</v>
      </c>
      <c r="AB58" s="60" t="n">
        <f aca="false">S58-AA58</f>
        <v>157</v>
      </c>
      <c r="AC58" s="80"/>
      <c r="AD58" s="80"/>
      <c r="AE58" s="80"/>
      <c r="AF58" s="80"/>
      <c r="AG58" s="80"/>
      <c r="AH58" s="80"/>
      <c r="AI58" s="83"/>
      <c r="AJ58" s="65" t="n">
        <f aca="false">SUM(AC58:AI58)</f>
        <v>0</v>
      </c>
      <c r="AK58" s="60" t="n">
        <f aca="false">AB58-AJ58</f>
        <v>157</v>
      </c>
      <c r="AL58" s="80"/>
      <c r="AM58" s="80"/>
      <c r="AN58" s="80"/>
      <c r="AO58" s="80"/>
      <c r="AP58" s="75"/>
      <c r="AQ58" s="75"/>
      <c r="AR58" s="75"/>
      <c r="AS58" s="60" t="n">
        <f aca="false">SUM(AL58:AR58)</f>
        <v>0</v>
      </c>
      <c r="AT58" s="60" t="n">
        <f aca="false">AK58-AS58</f>
        <v>157</v>
      </c>
    </row>
    <row r="59" customFormat="false" ht="13.5" hidden="false" customHeight="true" outlineLevel="0" collapsed="false">
      <c r="A59" s="76"/>
      <c r="B59" s="77" t="s">
        <v>69</v>
      </c>
      <c r="C59" s="77" t="s">
        <v>14</v>
      </c>
      <c r="D59" s="78" t="n">
        <v>28.05</v>
      </c>
      <c r="E59" s="84" t="n">
        <v>76.1</v>
      </c>
      <c r="F59" s="79"/>
      <c r="G59" s="80"/>
      <c r="H59" s="80"/>
      <c r="I59" s="59" t="n">
        <f aca="false">SUM(F59:H59)</f>
        <v>0</v>
      </c>
      <c r="J59" s="60" t="n">
        <f aca="false">E59-I59</f>
        <v>76.1</v>
      </c>
      <c r="K59" s="80"/>
      <c r="L59" s="81"/>
      <c r="M59" s="82"/>
      <c r="N59" s="82"/>
      <c r="O59" s="82"/>
      <c r="P59" s="82"/>
      <c r="Q59" s="82"/>
      <c r="R59" s="59" t="n">
        <f aca="false">SUM(K59:Q59)</f>
        <v>0</v>
      </c>
      <c r="S59" s="60" t="n">
        <f aca="false">J59-R59+120</f>
        <v>196.1</v>
      </c>
      <c r="T59" s="82"/>
      <c r="U59" s="82"/>
      <c r="V59" s="83"/>
      <c r="W59" s="79"/>
      <c r="X59" s="80"/>
      <c r="Y59" s="80"/>
      <c r="Z59" s="80"/>
      <c r="AA59" s="59" t="n">
        <f aca="false">SUM(T59:Z59)</f>
        <v>0</v>
      </c>
      <c r="AB59" s="60" t="n">
        <f aca="false">S59-AA59</f>
        <v>196.1</v>
      </c>
      <c r="AC59" s="80"/>
      <c r="AD59" s="80"/>
      <c r="AE59" s="80"/>
      <c r="AF59" s="80"/>
      <c r="AG59" s="80"/>
      <c r="AH59" s="80"/>
      <c r="AI59" s="83"/>
      <c r="AJ59" s="65" t="n">
        <f aca="false">SUM(AC59:AI59)</f>
        <v>0</v>
      </c>
      <c r="AK59" s="60" t="n">
        <f aca="false">AB59-AJ59</f>
        <v>196.1</v>
      </c>
      <c r="AL59" s="80"/>
      <c r="AM59" s="80"/>
      <c r="AN59" s="80"/>
      <c r="AO59" s="80"/>
      <c r="AP59" s="75"/>
      <c r="AQ59" s="75"/>
      <c r="AR59" s="75"/>
      <c r="AS59" s="60" t="n">
        <f aca="false">SUM(AL59:AR59)</f>
        <v>0</v>
      </c>
      <c r="AT59" s="60" t="n">
        <f aca="false">AK59-AS59</f>
        <v>196.1</v>
      </c>
    </row>
    <row r="60" customFormat="false" ht="13.5" hidden="false" customHeight="true" outlineLevel="0" collapsed="false">
      <c r="A60" s="76"/>
      <c r="B60" s="77" t="s">
        <v>70</v>
      </c>
      <c r="C60" s="77" t="s">
        <v>14</v>
      </c>
      <c r="D60" s="78" t="n">
        <v>27.5</v>
      </c>
      <c r="E60" s="84" t="n">
        <v>78.5</v>
      </c>
      <c r="F60" s="79"/>
      <c r="G60" s="80"/>
      <c r="H60" s="80"/>
      <c r="I60" s="59" t="n">
        <f aca="false">SUM(F60:H60)</f>
        <v>0</v>
      </c>
      <c r="J60" s="60" t="n">
        <f aca="false">E60-I60</f>
        <v>78.5</v>
      </c>
      <c r="K60" s="80"/>
      <c r="L60" s="81"/>
      <c r="M60" s="82"/>
      <c r="N60" s="82"/>
      <c r="O60" s="82"/>
      <c r="P60" s="82"/>
      <c r="Q60" s="82"/>
      <c r="R60" s="59" t="n">
        <f aca="false">SUM(K60:Q60)</f>
        <v>0</v>
      </c>
      <c r="S60" s="60" t="n">
        <f aca="false">J60-R60+100</f>
        <v>178.5</v>
      </c>
      <c r="T60" s="82"/>
      <c r="U60" s="82"/>
      <c r="V60" s="83"/>
      <c r="W60" s="79"/>
      <c r="X60" s="80"/>
      <c r="Y60" s="80" t="n">
        <v>25</v>
      </c>
      <c r="Z60" s="80"/>
      <c r="AA60" s="59" t="n">
        <f aca="false">SUM(T60:Z60)</f>
        <v>25</v>
      </c>
      <c r="AB60" s="60" t="n">
        <f aca="false">S60-AA60</f>
        <v>153.5</v>
      </c>
      <c r="AC60" s="80"/>
      <c r="AD60" s="80"/>
      <c r="AE60" s="80"/>
      <c r="AF60" s="80"/>
      <c r="AG60" s="80"/>
      <c r="AH60" s="80"/>
      <c r="AI60" s="83"/>
      <c r="AJ60" s="65" t="n">
        <f aca="false">SUM(AC60:AI60)</f>
        <v>0</v>
      </c>
      <c r="AK60" s="60" t="n">
        <f aca="false">AB60-AJ60</f>
        <v>153.5</v>
      </c>
      <c r="AL60" s="80"/>
      <c r="AM60" s="80"/>
      <c r="AN60" s="80"/>
      <c r="AO60" s="80"/>
      <c r="AP60" s="75"/>
      <c r="AQ60" s="75"/>
      <c r="AR60" s="75"/>
      <c r="AS60" s="60" t="n">
        <f aca="false">SUM(AL60:AR60)</f>
        <v>0</v>
      </c>
      <c r="AT60" s="60" t="n">
        <f aca="false">AK60-AS60</f>
        <v>153.5</v>
      </c>
    </row>
    <row r="61" customFormat="false" ht="13.5" hidden="false" customHeight="true" outlineLevel="0" collapsed="false">
      <c r="A61" s="76"/>
      <c r="B61" s="77" t="s">
        <v>71</v>
      </c>
      <c r="C61" s="77" t="s">
        <v>14</v>
      </c>
      <c r="D61" s="78" t="n">
        <v>47.3000522193211</v>
      </c>
      <c r="E61" s="84" t="n">
        <v>67.35</v>
      </c>
      <c r="F61" s="79" t="n">
        <v>25</v>
      </c>
      <c r="G61" s="80"/>
      <c r="H61" s="80"/>
      <c r="I61" s="59" t="n">
        <f aca="false">SUM(F61:H61)</f>
        <v>25</v>
      </c>
      <c r="J61" s="60" t="n">
        <f aca="false">E61-I61</f>
        <v>42.35</v>
      </c>
      <c r="K61" s="80"/>
      <c r="L61" s="81"/>
      <c r="M61" s="82"/>
      <c r="N61" s="82"/>
      <c r="O61" s="82"/>
      <c r="P61" s="82"/>
      <c r="Q61" s="82"/>
      <c r="R61" s="59" t="n">
        <f aca="false">SUM(K61:Q61)</f>
        <v>0</v>
      </c>
      <c r="S61" s="60" t="n">
        <f aca="false">J61-R61+100</f>
        <v>142.35</v>
      </c>
      <c r="T61" s="82"/>
      <c r="U61" s="82"/>
      <c r="V61" s="83"/>
      <c r="W61" s="79"/>
      <c r="X61" s="80"/>
      <c r="Y61" s="80"/>
      <c r="Z61" s="80"/>
      <c r="AA61" s="59" t="n">
        <f aca="false">SUM(T61:Z61)</f>
        <v>0</v>
      </c>
      <c r="AB61" s="60" t="n">
        <f aca="false">S61-AA61</f>
        <v>142.35</v>
      </c>
      <c r="AC61" s="80"/>
      <c r="AD61" s="80"/>
      <c r="AE61" s="80"/>
      <c r="AF61" s="80"/>
      <c r="AG61" s="80"/>
      <c r="AH61" s="80"/>
      <c r="AI61" s="83"/>
      <c r="AJ61" s="65" t="n">
        <f aca="false">SUM(AC61:AI61)</f>
        <v>0</v>
      </c>
      <c r="AK61" s="60" t="n">
        <f aca="false">AB61-AJ61</f>
        <v>142.35</v>
      </c>
      <c r="AL61" s="80"/>
      <c r="AM61" s="80"/>
      <c r="AN61" s="80"/>
      <c r="AO61" s="80"/>
      <c r="AP61" s="75"/>
      <c r="AQ61" s="75"/>
      <c r="AR61" s="75"/>
      <c r="AS61" s="60" t="n">
        <f aca="false">SUM(AL61:AR61)</f>
        <v>0</v>
      </c>
      <c r="AT61" s="60" t="n">
        <f aca="false">AK61-AS61</f>
        <v>142.35</v>
      </c>
    </row>
    <row r="62" customFormat="false" ht="13.5" hidden="false" customHeight="true" outlineLevel="0" collapsed="false">
      <c r="A62" s="76" t="n">
        <v>152</v>
      </c>
      <c r="B62" s="77" t="s">
        <v>72</v>
      </c>
      <c r="C62" s="77" t="s">
        <v>14</v>
      </c>
      <c r="D62" s="78" t="n">
        <v>90.2807339449541</v>
      </c>
      <c r="E62" s="56" t="n">
        <v>186</v>
      </c>
      <c r="F62" s="79" t="n">
        <v>25</v>
      </c>
      <c r="G62" s="80"/>
      <c r="H62" s="80"/>
      <c r="I62" s="59" t="n">
        <f aca="false">SUM(F62:H62)</f>
        <v>25</v>
      </c>
      <c r="J62" s="60" t="n">
        <f aca="false">E62-I62</f>
        <v>161</v>
      </c>
      <c r="K62" s="80"/>
      <c r="L62" s="81"/>
      <c r="M62" s="82"/>
      <c r="N62" s="82"/>
      <c r="O62" s="82"/>
      <c r="P62" s="82" t="n">
        <v>9</v>
      </c>
      <c r="Q62" s="82"/>
      <c r="R62" s="59" t="n">
        <f aca="false">SUM(K62:Q62)</f>
        <v>9</v>
      </c>
      <c r="S62" s="60" t="n">
        <f aca="false">J62-R62</f>
        <v>152</v>
      </c>
      <c r="T62" s="82"/>
      <c r="U62" s="82" t="n">
        <v>4.5</v>
      </c>
      <c r="V62" s="83"/>
      <c r="W62" s="79"/>
      <c r="X62" s="80" t="n">
        <v>28.2</v>
      </c>
      <c r="Y62" s="80"/>
      <c r="Z62" s="80"/>
      <c r="AA62" s="59" t="n">
        <f aca="false">SUM(T62:Z62)</f>
        <v>32.7</v>
      </c>
      <c r="AB62" s="60" t="n">
        <f aca="false">S62-AA62</f>
        <v>119.3</v>
      </c>
      <c r="AC62" s="80" t="n">
        <v>3.6</v>
      </c>
      <c r="AD62" s="80"/>
      <c r="AE62" s="80" t="n">
        <v>27.7</v>
      </c>
      <c r="AF62" s="80"/>
      <c r="AG62" s="80"/>
      <c r="AH62" s="80"/>
      <c r="AI62" s="83"/>
      <c r="AJ62" s="65" t="n">
        <f aca="false">SUM(AC62:AI62)</f>
        <v>31.3</v>
      </c>
      <c r="AK62" s="60" t="n">
        <f aca="false">AB62-AJ62</f>
        <v>88</v>
      </c>
      <c r="AL62" s="80"/>
      <c r="AM62" s="80"/>
      <c r="AN62" s="80"/>
      <c r="AO62" s="80"/>
      <c r="AP62" s="75"/>
      <c r="AQ62" s="75"/>
      <c r="AR62" s="75"/>
      <c r="AS62" s="60" t="n">
        <f aca="false">SUM(AL62:AR62)</f>
        <v>0</v>
      </c>
      <c r="AT62" s="60" t="n">
        <f aca="false">AK62-AS62</f>
        <v>88</v>
      </c>
    </row>
    <row r="63" customFormat="false" ht="13.5" hidden="false" customHeight="true" outlineLevel="0" collapsed="false">
      <c r="A63" s="76"/>
      <c r="B63" s="77" t="s">
        <v>73</v>
      </c>
      <c r="C63" s="77" t="s">
        <v>14</v>
      </c>
      <c r="D63" s="78" t="n">
        <v>304.071428571429</v>
      </c>
      <c r="E63" s="56" t="n">
        <v>53.6</v>
      </c>
      <c r="F63" s="79"/>
      <c r="G63" s="80"/>
      <c r="H63" s="80"/>
      <c r="I63" s="59" t="n">
        <f aca="false">SUM(F63:H63)</f>
        <v>0</v>
      </c>
      <c r="J63" s="60" t="n">
        <f aca="false">E63-I63</f>
        <v>53.6</v>
      </c>
      <c r="K63" s="80"/>
      <c r="L63" s="81"/>
      <c r="M63" s="82"/>
      <c r="N63" s="82"/>
      <c r="O63" s="82"/>
      <c r="P63" s="82"/>
      <c r="Q63" s="82"/>
      <c r="R63" s="59" t="n">
        <f aca="false">SUM(K63:Q63)</f>
        <v>0</v>
      </c>
      <c r="S63" s="60" t="n">
        <f aca="false">J63-R63</f>
        <v>53.6</v>
      </c>
      <c r="T63" s="82"/>
      <c r="U63" s="82"/>
      <c r="V63" s="83"/>
      <c r="W63" s="79"/>
      <c r="X63" s="80"/>
      <c r="Y63" s="80"/>
      <c r="Z63" s="80"/>
      <c r="AA63" s="59" t="n">
        <f aca="false">SUM(T63:Z63)</f>
        <v>0</v>
      </c>
      <c r="AB63" s="60" t="n">
        <f aca="false">S63-AA63</f>
        <v>53.6</v>
      </c>
      <c r="AC63" s="80"/>
      <c r="AD63" s="80"/>
      <c r="AE63" s="80"/>
      <c r="AF63" s="80"/>
      <c r="AG63" s="80"/>
      <c r="AH63" s="80"/>
      <c r="AI63" s="83"/>
      <c r="AJ63" s="65" t="n">
        <f aca="false">SUM(AC63:AI63)</f>
        <v>0</v>
      </c>
      <c r="AK63" s="60" t="n">
        <f aca="false">AB63-AJ63</f>
        <v>53.6</v>
      </c>
      <c r="AL63" s="80"/>
      <c r="AM63" s="80"/>
      <c r="AN63" s="80"/>
      <c r="AO63" s="80"/>
      <c r="AP63" s="75"/>
      <c r="AQ63" s="75"/>
      <c r="AR63" s="75"/>
      <c r="AS63" s="60" t="n">
        <f aca="false">SUM(AL63:AR63)</f>
        <v>0</v>
      </c>
      <c r="AT63" s="60" t="n">
        <f aca="false">AK63-AS63</f>
        <v>53.6</v>
      </c>
    </row>
    <row r="64" customFormat="false" ht="13.5" hidden="false" customHeight="true" outlineLevel="0" collapsed="false">
      <c r="A64" s="76"/>
      <c r="B64" s="77" t="s">
        <v>74</v>
      </c>
      <c r="C64" s="77" t="s">
        <v>14</v>
      </c>
      <c r="D64" s="78" t="n">
        <v>39.6</v>
      </c>
      <c r="E64" s="56" t="n">
        <v>91</v>
      </c>
      <c r="F64" s="79"/>
      <c r="G64" s="80"/>
      <c r="H64" s="80"/>
      <c r="I64" s="59" t="n">
        <f aca="false">SUM(F64:H64)</f>
        <v>0</v>
      </c>
      <c r="J64" s="60" t="n">
        <f aca="false">E64-I64</f>
        <v>91</v>
      </c>
      <c r="K64" s="80"/>
      <c r="L64" s="81"/>
      <c r="M64" s="82"/>
      <c r="N64" s="82"/>
      <c r="O64" s="82"/>
      <c r="P64" s="82"/>
      <c r="Q64" s="82"/>
      <c r="R64" s="59" t="n">
        <f aca="false">SUM(K64:Q64)</f>
        <v>0</v>
      </c>
      <c r="S64" s="60" t="n">
        <f aca="false">J64-R64</f>
        <v>91</v>
      </c>
      <c r="T64" s="82"/>
      <c r="U64" s="82"/>
      <c r="V64" s="83"/>
      <c r="W64" s="79"/>
      <c r="X64" s="80"/>
      <c r="Y64" s="80"/>
      <c r="Z64" s="80"/>
      <c r="AA64" s="59" t="n">
        <f aca="false">SUM(T64:Z64)</f>
        <v>0</v>
      </c>
      <c r="AB64" s="60" t="n">
        <f aca="false">S64-AA64</f>
        <v>91</v>
      </c>
      <c r="AC64" s="80"/>
      <c r="AD64" s="80"/>
      <c r="AE64" s="80"/>
      <c r="AF64" s="80"/>
      <c r="AG64" s="80"/>
      <c r="AH64" s="80"/>
      <c r="AI64" s="83"/>
      <c r="AJ64" s="65" t="n">
        <f aca="false">SUM(AC64:AI64)</f>
        <v>0</v>
      </c>
      <c r="AK64" s="60" t="n">
        <f aca="false">AB64-AJ64</f>
        <v>91</v>
      </c>
      <c r="AL64" s="80"/>
      <c r="AM64" s="80"/>
      <c r="AN64" s="80"/>
      <c r="AO64" s="80"/>
      <c r="AP64" s="75"/>
      <c r="AQ64" s="75"/>
      <c r="AR64" s="75"/>
      <c r="AS64" s="60" t="n">
        <f aca="false">SUM(AL64:AR64)</f>
        <v>0</v>
      </c>
      <c r="AT64" s="60" t="n">
        <f aca="false">AK64-AS64</f>
        <v>91</v>
      </c>
    </row>
    <row r="65" customFormat="false" ht="13.5" hidden="false" customHeight="true" outlineLevel="0" collapsed="false">
      <c r="A65" s="76"/>
      <c r="B65" s="77" t="s">
        <v>75</v>
      </c>
      <c r="C65" s="77" t="s">
        <v>14</v>
      </c>
      <c r="D65" s="78" t="n">
        <v>256.29</v>
      </c>
      <c r="E65" s="56" t="n">
        <v>10.35</v>
      </c>
      <c r="F65" s="79"/>
      <c r="G65" s="80"/>
      <c r="H65" s="80"/>
      <c r="I65" s="59" t="n">
        <f aca="false">SUM(F65:H65)</f>
        <v>0</v>
      </c>
      <c r="J65" s="60" t="n">
        <f aca="false">E65-I65</f>
        <v>10.35</v>
      </c>
      <c r="K65" s="80"/>
      <c r="L65" s="81"/>
      <c r="M65" s="82" t="n">
        <v>0.9</v>
      </c>
      <c r="N65" s="82"/>
      <c r="O65" s="82"/>
      <c r="P65" s="82"/>
      <c r="Q65" s="82" t="n">
        <v>1.8</v>
      </c>
      <c r="R65" s="59" t="n">
        <f aca="false">SUM(K65:Q65)</f>
        <v>2.7</v>
      </c>
      <c r="S65" s="60" t="n">
        <f aca="false">J65-R65</f>
        <v>7.65</v>
      </c>
      <c r="T65" s="82" t="n">
        <v>4.5</v>
      </c>
      <c r="U65" s="82"/>
      <c r="V65" s="83"/>
      <c r="W65" s="79"/>
      <c r="X65" s="80"/>
      <c r="Y65" s="80"/>
      <c r="Z65" s="80"/>
      <c r="AA65" s="59" t="n">
        <f aca="false">SUM(T65:Z65)</f>
        <v>4.5</v>
      </c>
      <c r="AB65" s="60" t="n">
        <f aca="false">S65-AA65</f>
        <v>3.15</v>
      </c>
      <c r="AC65" s="80" t="n">
        <v>2.4</v>
      </c>
      <c r="AD65" s="80"/>
      <c r="AE65" s="80"/>
      <c r="AF65" s="80"/>
      <c r="AG65" s="80"/>
      <c r="AH65" s="80"/>
      <c r="AI65" s="83"/>
      <c r="AJ65" s="65" t="n">
        <f aca="false">SUM(AC65:AI65)</f>
        <v>2.4</v>
      </c>
      <c r="AK65" s="60" t="n">
        <f aca="false">AB65-AJ65</f>
        <v>0.75</v>
      </c>
      <c r="AL65" s="80"/>
      <c r="AM65" s="80"/>
      <c r="AN65" s="80"/>
      <c r="AO65" s="80"/>
      <c r="AP65" s="75"/>
      <c r="AQ65" s="75"/>
      <c r="AR65" s="75"/>
      <c r="AS65" s="60" t="n">
        <f aca="false">SUM(AL65:AR65)</f>
        <v>0</v>
      </c>
      <c r="AT65" s="60" t="n">
        <f aca="false">AK65-AS65</f>
        <v>0.75</v>
      </c>
    </row>
    <row r="66" customFormat="false" ht="13.5" hidden="false" customHeight="true" outlineLevel="0" collapsed="false">
      <c r="A66" s="76"/>
      <c r="B66" s="77" t="s">
        <v>76</v>
      </c>
      <c r="C66" s="77" t="s">
        <v>14</v>
      </c>
      <c r="D66" s="78" t="n">
        <v>29.7</v>
      </c>
      <c r="E66" s="56" t="n">
        <v>21</v>
      </c>
      <c r="F66" s="79"/>
      <c r="G66" s="80"/>
      <c r="H66" s="80"/>
      <c r="I66" s="59" t="n">
        <f aca="false">SUM(F66:H66)</f>
        <v>0</v>
      </c>
      <c r="J66" s="60" t="n">
        <f aca="false">E66-I66</f>
        <v>21</v>
      </c>
      <c r="K66" s="80"/>
      <c r="L66" s="81"/>
      <c r="M66" s="82"/>
      <c r="N66" s="82"/>
      <c r="O66" s="82"/>
      <c r="P66" s="82"/>
      <c r="Q66" s="82"/>
      <c r="R66" s="59" t="n">
        <f aca="false">SUM(K66:Q66)</f>
        <v>0</v>
      </c>
      <c r="S66" s="60" t="n">
        <f aca="false">J66-R66</f>
        <v>21</v>
      </c>
      <c r="T66" s="82"/>
      <c r="U66" s="82"/>
      <c r="V66" s="83"/>
      <c r="W66" s="79"/>
      <c r="X66" s="80"/>
      <c r="Y66" s="80"/>
      <c r="Z66" s="80"/>
      <c r="AA66" s="59" t="n">
        <f aca="false">SUM(T66:Z66)</f>
        <v>0</v>
      </c>
      <c r="AB66" s="60" t="n">
        <f aca="false">S66-AA66</f>
        <v>21</v>
      </c>
      <c r="AC66" s="80"/>
      <c r="AD66" s="80"/>
      <c r="AE66" s="80"/>
      <c r="AF66" s="80"/>
      <c r="AG66" s="80"/>
      <c r="AH66" s="80"/>
      <c r="AI66" s="83"/>
      <c r="AJ66" s="65" t="n">
        <f aca="false">SUM(AC66:AI66)</f>
        <v>0</v>
      </c>
      <c r="AK66" s="60" t="n">
        <f aca="false">AB66-AJ66</f>
        <v>21</v>
      </c>
      <c r="AL66" s="80"/>
      <c r="AM66" s="80"/>
      <c r="AN66" s="80"/>
      <c r="AO66" s="80"/>
      <c r="AP66" s="75"/>
      <c r="AQ66" s="75"/>
      <c r="AR66" s="75"/>
      <c r="AS66" s="60" t="n">
        <f aca="false">SUM(AL66:AR66)</f>
        <v>0</v>
      </c>
      <c r="AT66" s="60" t="n">
        <f aca="false">AK66-AS66</f>
        <v>21</v>
      </c>
    </row>
    <row r="67" customFormat="false" ht="13.5" hidden="false" customHeight="true" outlineLevel="0" collapsed="false">
      <c r="A67" s="76"/>
      <c r="B67" s="77" t="s">
        <v>77</v>
      </c>
      <c r="C67" s="77" t="s">
        <v>14</v>
      </c>
      <c r="D67" s="78" t="n">
        <v>453.199643493761</v>
      </c>
      <c r="E67" s="56" t="n">
        <v>5</v>
      </c>
      <c r="F67" s="79"/>
      <c r="G67" s="80"/>
      <c r="H67" s="80"/>
      <c r="I67" s="59" t="n">
        <f aca="false">SUM(F67:H67)</f>
        <v>0</v>
      </c>
      <c r="J67" s="60" t="n">
        <f aca="false">E67-I67</f>
        <v>5</v>
      </c>
      <c r="K67" s="80"/>
      <c r="L67" s="81"/>
      <c r="M67" s="82"/>
      <c r="N67" s="82"/>
      <c r="O67" s="82"/>
      <c r="P67" s="82"/>
      <c r="Q67" s="82"/>
      <c r="R67" s="59" t="n">
        <f aca="false">SUM(K67:Q67)</f>
        <v>0</v>
      </c>
      <c r="S67" s="60" t="n">
        <f aca="false">J67-R67</f>
        <v>5</v>
      </c>
      <c r="T67" s="82"/>
      <c r="U67" s="82"/>
      <c r="V67" s="83"/>
      <c r="W67" s="79"/>
      <c r="X67" s="80"/>
      <c r="Y67" s="80"/>
      <c r="Z67" s="80"/>
      <c r="AA67" s="59" t="n">
        <f aca="false">SUM(T67:Z67)</f>
        <v>0</v>
      </c>
      <c r="AB67" s="60" t="n">
        <f aca="false">S67-AA67</f>
        <v>5</v>
      </c>
      <c r="AC67" s="80"/>
      <c r="AD67" s="80"/>
      <c r="AE67" s="80"/>
      <c r="AF67" s="80"/>
      <c r="AG67" s="80"/>
      <c r="AH67" s="80"/>
      <c r="AI67" s="83"/>
      <c r="AJ67" s="65" t="n">
        <f aca="false">SUM(AC67:AI67)</f>
        <v>0</v>
      </c>
      <c r="AK67" s="60" t="n">
        <f aca="false">AB67-AJ67</f>
        <v>5</v>
      </c>
      <c r="AL67" s="80"/>
      <c r="AM67" s="80"/>
      <c r="AN67" s="80"/>
      <c r="AO67" s="80"/>
      <c r="AP67" s="75"/>
      <c r="AQ67" s="75"/>
      <c r="AR67" s="75"/>
      <c r="AS67" s="60" t="n">
        <f aca="false">SUM(AL67:AR67)</f>
        <v>0</v>
      </c>
      <c r="AT67" s="60" t="n">
        <f aca="false">AK67-AS67</f>
        <v>5</v>
      </c>
    </row>
    <row r="68" customFormat="false" ht="13.5" hidden="false" customHeight="true" outlineLevel="0" collapsed="false">
      <c r="A68" s="76"/>
      <c r="B68" s="77" t="s">
        <v>78</v>
      </c>
      <c r="C68" s="77" t="s">
        <v>19</v>
      </c>
      <c r="D68" s="78" t="n">
        <v>1.05</v>
      </c>
      <c r="E68" s="56" t="n">
        <v>1040</v>
      </c>
      <c r="F68" s="79"/>
      <c r="G68" s="80"/>
      <c r="H68" s="80"/>
      <c r="I68" s="59" t="n">
        <f aca="false">SUM(F68:H68)</f>
        <v>0</v>
      </c>
      <c r="J68" s="60" t="n">
        <f aca="false">E68-I68</f>
        <v>1040</v>
      </c>
      <c r="K68" s="80"/>
      <c r="L68" s="81"/>
      <c r="M68" s="82"/>
      <c r="N68" s="82"/>
      <c r="O68" s="82"/>
      <c r="P68" s="82"/>
      <c r="Q68" s="82"/>
      <c r="R68" s="59" t="n">
        <f aca="false">SUM(K68:Q68)</f>
        <v>0</v>
      </c>
      <c r="S68" s="60" t="n">
        <f aca="false">J68-R68</f>
        <v>1040</v>
      </c>
      <c r="T68" s="82"/>
      <c r="U68" s="82"/>
      <c r="V68" s="83"/>
      <c r="W68" s="79"/>
      <c r="X68" s="80"/>
      <c r="Y68" s="80"/>
      <c r="Z68" s="80"/>
      <c r="AA68" s="59" t="n">
        <f aca="false">SUM(T68:Z68)</f>
        <v>0</v>
      </c>
      <c r="AB68" s="60" t="n">
        <f aca="false">S68-AA68</f>
        <v>1040</v>
      </c>
      <c r="AC68" s="80"/>
      <c r="AD68" s="80"/>
      <c r="AE68" s="80"/>
      <c r="AF68" s="80"/>
      <c r="AG68" s="80"/>
      <c r="AH68" s="80"/>
      <c r="AI68" s="83"/>
      <c r="AJ68" s="65" t="n">
        <f aca="false">SUM(AC68:AI68)</f>
        <v>0</v>
      </c>
      <c r="AK68" s="60" t="n">
        <f aca="false">AB68-AJ68</f>
        <v>1040</v>
      </c>
      <c r="AL68" s="80"/>
      <c r="AM68" s="80"/>
      <c r="AN68" s="80"/>
      <c r="AO68" s="80"/>
      <c r="AP68" s="75"/>
      <c r="AQ68" s="75"/>
      <c r="AR68" s="75"/>
      <c r="AS68" s="60" t="n">
        <f aca="false">SUM(AL68:AR68)</f>
        <v>0</v>
      </c>
      <c r="AT68" s="60" t="n">
        <f aca="false">AK68-AS68</f>
        <v>1040</v>
      </c>
    </row>
    <row r="69" customFormat="false" ht="13.5" hidden="false" customHeight="true" outlineLevel="0" collapsed="false">
      <c r="A69" s="76"/>
      <c r="B69" s="77" t="s">
        <v>79</v>
      </c>
      <c r="C69" s="77" t="s">
        <v>14</v>
      </c>
      <c r="D69" s="78" t="n">
        <v>126.5</v>
      </c>
      <c r="E69" s="56" t="n">
        <v>38</v>
      </c>
      <c r="F69" s="79"/>
      <c r="G69" s="80" t="n">
        <v>10</v>
      </c>
      <c r="H69" s="80" t="n">
        <v>10.5</v>
      </c>
      <c r="I69" s="59" t="n">
        <f aca="false">SUM(F69:H69)</f>
        <v>20.5</v>
      </c>
      <c r="J69" s="60" t="n">
        <f aca="false">E69-I69</f>
        <v>17.5</v>
      </c>
      <c r="K69" s="80"/>
      <c r="L69" s="81"/>
      <c r="M69" s="82"/>
      <c r="N69" s="82"/>
      <c r="O69" s="82"/>
      <c r="P69" s="82"/>
      <c r="Q69" s="82"/>
      <c r="R69" s="59" t="n">
        <f aca="false">SUM(K69:Q69)</f>
        <v>0</v>
      </c>
      <c r="S69" s="60" t="n">
        <f aca="false">J69-R69</f>
        <v>17.5</v>
      </c>
      <c r="T69" s="82" t="n">
        <v>5.6</v>
      </c>
      <c r="U69" s="82" t="n">
        <v>9.8</v>
      </c>
      <c r="V69" s="83"/>
      <c r="W69" s="79"/>
      <c r="X69" s="80"/>
      <c r="Y69" s="80"/>
      <c r="Z69" s="80"/>
      <c r="AA69" s="59" t="n">
        <f aca="false">SUM(T69:Z69)</f>
        <v>15.4</v>
      </c>
      <c r="AB69" s="60" t="n">
        <f aca="false">S69-AA69</f>
        <v>2.1</v>
      </c>
      <c r="AC69" s="80"/>
      <c r="AD69" s="80"/>
      <c r="AE69" s="80" t="n">
        <v>7.98</v>
      </c>
      <c r="AF69" s="80"/>
      <c r="AG69" s="80"/>
      <c r="AH69" s="80"/>
      <c r="AI69" s="83"/>
      <c r="AJ69" s="65" t="n">
        <f aca="false">SUM(AC69:AI69)</f>
        <v>7.98</v>
      </c>
      <c r="AK69" s="60" t="n">
        <f aca="false">AB69-AJ69</f>
        <v>-5.88</v>
      </c>
      <c r="AL69" s="80"/>
      <c r="AM69" s="80"/>
      <c r="AN69" s="80"/>
      <c r="AO69" s="80"/>
      <c r="AP69" s="75"/>
      <c r="AQ69" s="75"/>
      <c r="AR69" s="75"/>
      <c r="AS69" s="60" t="n">
        <f aca="false">SUM(AL69:AR69)</f>
        <v>0</v>
      </c>
      <c r="AT69" s="60" t="n">
        <f aca="false">AK69-AS69</f>
        <v>-5.88</v>
      </c>
    </row>
    <row r="70" customFormat="false" ht="13.5" hidden="false" customHeight="true" outlineLevel="0" collapsed="false">
      <c r="A70" s="76"/>
      <c r="B70" s="77" t="s">
        <v>80</v>
      </c>
      <c r="C70" s="77" t="s">
        <v>14</v>
      </c>
      <c r="D70" s="78" t="n">
        <v>559.570296763798</v>
      </c>
      <c r="E70" s="56" t="n">
        <v>10</v>
      </c>
      <c r="F70" s="79"/>
      <c r="G70" s="80"/>
      <c r="H70" s="80"/>
      <c r="I70" s="59" t="n">
        <f aca="false">SUM(F70:H70)</f>
        <v>0</v>
      </c>
      <c r="J70" s="60" t="n">
        <f aca="false">E70-I70</f>
        <v>10</v>
      </c>
      <c r="K70" s="80"/>
      <c r="L70" s="81"/>
      <c r="M70" s="82"/>
      <c r="N70" s="82"/>
      <c r="O70" s="82"/>
      <c r="P70" s="82"/>
      <c r="Q70" s="82"/>
      <c r="R70" s="59" t="n">
        <f aca="false">SUM(K70:Q70)</f>
        <v>0</v>
      </c>
      <c r="S70" s="60" t="n">
        <f aca="false">J70-R70</f>
        <v>10</v>
      </c>
      <c r="T70" s="82"/>
      <c r="U70" s="82"/>
      <c r="V70" s="83"/>
      <c r="W70" s="79"/>
      <c r="X70" s="80"/>
      <c r="Y70" s="80"/>
      <c r="Z70" s="80"/>
      <c r="AA70" s="59" t="n">
        <f aca="false">SUM(T70:Z70)</f>
        <v>0</v>
      </c>
      <c r="AB70" s="60" t="n">
        <f aca="false">S70-AA70</f>
        <v>10</v>
      </c>
      <c r="AC70" s="80"/>
      <c r="AD70" s="80"/>
      <c r="AE70" s="80"/>
      <c r="AF70" s="80"/>
      <c r="AG70" s="80"/>
      <c r="AH70" s="80"/>
      <c r="AI70" s="83"/>
      <c r="AJ70" s="65" t="n">
        <f aca="false">SUM(AC70:AI70)</f>
        <v>0</v>
      </c>
      <c r="AK70" s="60" t="n">
        <f aca="false">AB70-AJ70</f>
        <v>10</v>
      </c>
      <c r="AL70" s="80"/>
      <c r="AM70" s="80"/>
      <c r="AN70" s="80"/>
      <c r="AO70" s="80"/>
      <c r="AP70" s="75"/>
      <c r="AQ70" s="75"/>
      <c r="AR70" s="75"/>
      <c r="AS70" s="60" t="n">
        <f aca="false">SUM(AL70:AR70)</f>
        <v>0</v>
      </c>
      <c r="AT70" s="60" t="n">
        <f aca="false">AK70-AS70</f>
        <v>10</v>
      </c>
    </row>
    <row r="71" customFormat="false" ht="13.5" hidden="false" customHeight="true" outlineLevel="0" collapsed="false">
      <c r="A71" s="76"/>
      <c r="B71" s="77" t="s">
        <v>81</v>
      </c>
      <c r="C71" s="77" t="s">
        <v>14</v>
      </c>
      <c r="D71" s="78" t="n">
        <v>50.5841052441881</v>
      </c>
      <c r="E71" s="56" t="n">
        <v>440.05</v>
      </c>
      <c r="F71" s="79" t="n">
        <v>5</v>
      </c>
      <c r="G71" s="80"/>
      <c r="H71" s="80" t="n">
        <v>5</v>
      </c>
      <c r="I71" s="59" t="n">
        <f aca="false">SUM(F71:H71)</f>
        <v>10</v>
      </c>
      <c r="J71" s="60" t="n">
        <f aca="false">E71-I71</f>
        <v>430.05</v>
      </c>
      <c r="K71" s="80"/>
      <c r="L71" s="81" t="n">
        <v>5.05</v>
      </c>
      <c r="M71" s="82" t="n">
        <v>20</v>
      </c>
      <c r="N71" s="82"/>
      <c r="O71" s="82"/>
      <c r="P71" s="82"/>
      <c r="Q71" s="82"/>
      <c r="R71" s="59" t="n">
        <f aca="false">SUM(K71:Q71)</f>
        <v>25.05</v>
      </c>
      <c r="S71" s="60" t="n">
        <f aca="false">J71-R71</f>
        <v>405</v>
      </c>
      <c r="T71" s="82" t="n">
        <v>20</v>
      </c>
      <c r="U71" s="82"/>
      <c r="V71" s="83" t="n">
        <v>10</v>
      </c>
      <c r="W71" s="79"/>
      <c r="X71" s="80" t="n">
        <v>20</v>
      </c>
      <c r="Y71" s="80" t="n">
        <v>5.5</v>
      </c>
      <c r="Z71" s="80"/>
      <c r="AA71" s="59" t="n">
        <f aca="false">SUM(T71:Z71)</f>
        <v>55.5</v>
      </c>
      <c r="AB71" s="60" t="n">
        <f aca="false">S71-AA71</f>
        <v>349.5</v>
      </c>
      <c r="AC71" s="80"/>
      <c r="AD71" s="80"/>
      <c r="AE71" s="80" t="n">
        <v>20</v>
      </c>
      <c r="AF71" s="80"/>
      <c r="AG71" s="80"/>
      <c r="AH71" s="80"/>
      <c r="AI71" s="83"/>
      <c r="AJ71" s="65" t="n">
        <f aca="false">SUM(AC71:AI71)</f>
        <v>20</v>
      </c>
      <c r="AK71" s="60" t="n">
        <f aca="false">AB71-AJ71</f>
        <v>329.5</v>
      </c>
      <c r="AL71" s="80"/>
      <c r="AM71" s="80"/>
      <c r="AN71" s="80"/>
      <c r="AO71" s="80"/>
      <c r="AP71" s="75"/>
      <c r="AQ71" s="75"/>
      <c r="AR71" s="75"/>
      <c r="AS71" s="60" t="n">
        <f aca="false">SUM(AL71:AR71)</f>
        <v>0</v>
      </c>
      <c r="AT71" s="60" t="n">
        <f aca="false">AK71-AS71</f>
        <v>329.5</v>
      </c>
    </row>
    <row r="72" customFormat="false" ht="13.5" hidden="false" customHeight="true" outlineLevel="0" collapsed="false">
      <c r="A72" s="76"/>
      <c r="B72" s="77" t="s">
        <v>82</v>
      </c>
      <c r="C72" s="77" t="s">
        <v>14</v>
      </c>
      <c r="D72" s="78" t="n">
        <v>290</v>
      </c>
      <c r="E72" s="56" t="n">
        <v>40</v>
      </c>
      <c r="F72" s="79"/>
      <c r="G72" s="80"/>
      <c r="H72" s="80"/>
      <c r="I72" s="59" t="n">
        <f aca="false">SUM(F72:H72)</f>
        <v>0</v>
      </c>
      <c r="J72" s="60" t="n">
        <f aca="false">E72-I72</f>
        <v>40</v>
      </c>
      <c r="K72" s="80"/>
      <c r="L72" s="81"/>
      <c r="M72" s="82"/>
      <c r="N72" s="82"/>
      <c r="O72" s="82"/>
      <c r="P72" s="82"/>
      <c r="Q72" s="82" t="n">
        <v>20</v>
      </c>
      <c r="R72" s="59" t="n">
        <f aca="false">SUM(K72:Q72)</f>
        <v>20</v>
      </c>
      <c r="S72" s="60" t="n">
        <f aca="false">J72-R72+42</f>
        <v>62</v>
      </c>
      <c r="T72" s="82" t="n">
        <v>20</v>
      </c>
      <c r="U72" s="82"/>
      <c r="V72" s="83"/>
      <c r="W72" s="79"/>
      <c r="X72" s="80"/>
      <c r="Y72" s="80"/>
      <c r="Z72" s="80"/>
      <c r="AA72" s="59" t="n">
        <f aca="false">SUM(T72:Z72)</f>
        <v>20</v>
      </c>
      <c r="AB72" s="60" t="n">
        <f aca="false">S72-AA72</f>
        <v>42</v>
      </c>
      <c r="AC72" s="80"/>
      <c r="AD72" s="80"/>
      <c r="AE72" s="80"/>
      <c r="AF72" s="80"/>
      <c r="AG72" s="80"/>
      <c r="AH72" s="80"/>
      <c r="AI72" s="83"/>
      <c r="AJ72" s="65" t="n">
        <f aca="false">SUM(AC72:AI72)</f>
        <v>0</v>
      </c>
      <c r="AK72" s="60" t="n">
        <f aca="false">AB72-AJ72</f>
        <v>42</v>
      </c>
      <c r="AL72" s="80"/>
      <c r="AM72" s="80"/>
      <c r="AN72" s="80"/>
      <c r="AO72" s="80"/>
      <c r="AP72" s="75"/>
      <c r="AQ72" s="75"/>
      <c r="AR72" s="75"/>
      <c r="AS72" s="60" t="n">
        <f aca="false">SUM(AL72:AR72)</f>
        <v>0</v>
      </c>
      <c r="AT72" s="60" t="n">
        <f aca="false">AK72-AS72</f>
        <v>42</v>
      </c>
    </row>
    <row r="73" customFormat="false" ht="13.5" hidden="false" customHeight="true" outlineLevel="0" collapsed="false">
      <c r="A73" s="76"/>
      <c r="B73" s="77" t="s">
        <v>83</v>
      </c>
      <c r="C73" s="77" t="s">
        <v>16</v>
      </c>
      <c r="D73" s="78" t="n">
        <v>135.3</v>
      </c>
      <c r="E73" s="56" t="n">
        <v>313.31</v>
      </c>
      <c r="F73" s="79" t="n">
        <v>15</v>
      </c>
      <c r="G73" s="80"/>
      <c r="H73" s="80" t="n">
        <v>15</v>
      </c>
      <c r="I73" s="59" t="n">
        <f aca="false">SUM(F73:H73)</f>
        <v>30</v>
      </c>
      <c r="J73" s="60" t="n">
        <f aca="false">E73-I73</f>
        <v>283.31</v>
      </c>
      <c r="K73" s="80"/>
      <c r="L73" s="81" t="n">
        <v>15</v>
      </c>
      <c r="M73" s="82"/>
      <c r="N73" s="82" t="n">
        <v>15</v>
      </c>
      <c r="O73" s="82"/>
      <c r="P73" s="82" t="n">
        <v>15.31</v>
      </c>
      <c r="Q73" s="82"/>
      <c r="R73" s="59" t="n">
        <f aca="false">SUM(K73:Q73)</f>
        <v>45.31</v>
      </c>
      <c r="S73" s="60" t="n">
        <f aca="false">J73-R73</f>
        <v>238</v>
      </c>
      <c r="T73" s="82" t="n">
        <v>15</v>
      </c>
      <c r="U73" s="82"/>
      <c r="V73" s="83" t="n">
        <v>15</v>
      </c>
      <c r="W73" s="79"/>
      <c r="X73" s="80" t="n">
        <v>30</v>
      </c>
      <c r="Y73" s="80" t="n">
        <v>15</v>
      </c>
      <c r="Z73" s="80" t="n">
        <v>15</v>
      </c>
      <c r="AA73" s="59" t="n">
        <f aca="false">SUM(T73:Z73)</f>
        <v>90</v>
      </c>
      <c r="AB73" s="60" t="n">
        <f aca="false">S73-AA73</f>
        <v>148</v>
      </c>
      <c r="AC73" s="80"/>
      <c r="AD73" s="80" t="n">
        <v>15</v>
      </c>
      <c r="AE73" s="80" t="n">
        <v>5</v>
      </c>
      <c r="AF73" s="80"/>
      <c r="AG73" s="80"/>
      <c r="AH73" s="80"/>
      <c r="AI73" s="83"/>
      <c r="AJ73" s="65" t="n">
        <f aca="false">SUM(AC73:AI73)</f>
        <v>20</v>
      </c>
      <c r="AK73" s="60" t="n">
        <f aca="false">AB73-AJ73</f>
        <v>128</v>
      </c>
      <c r="AL73" s="80"/>
      <c r="AM73" s="80"/>
      <c r="AN73" s="80"/>
      <c r="AO73" s="80"/>
      <c r="AP73" s="75"/>
      <c r="AQ73" s="75"/>
      <c r="AR73" s="75"/>
      <c r="AS73" s="60" t="n">
        <f aca="false">SUM(AL73:AR73)</f>
        <v>0</v>
      </c>
      <c r="AT73" s="60" t="n">
        <f aca="false">AK73-AS73</f>
        <v>128</v>
      </c>
    </row>
    <row r="74" customFormat="false" ht="13.5" hidden="false" customHeight="true" outlineLevel="0" collapsed="false">
      <c r="A74" s="76"/>
      <c r="B74" s="77" t="s">
        <v>84</v>
      </c>
      <c r="C74" s="77" t="s">
        <v>14</v>
      </c>
      <c r="D74" s="78" t="n">
        <v>498.3</v>
      </c>
      <c r="E74" s="56" t="n">
        <v>3.47</v>
      </c>
      <c r="F74" s="79"/>
      <c r="G74" s="80"/>
      <c r="H74" s="80" t="n">
        <v>3.47</v>
      </c>
      <c r="I74" s="59" t="n">
        <f aca="false">SUM(F74:H74)</f>
        <v>3.47</v>
      </c>
      <c r="J74" s="60" t="n">
        <f aca="false">E74-I74</f>
        <v>0</v>
      </c>
      <c r="K74" s="80"/>
      <c r="L74" s="81"/>
      <c r="M74" s="82"/>
      <c r="N74" s="82"/>
      <c r="O74" s="82"/>
      <c r="P74" s="82"/>
      <c r="Q74" s="82"/>
      <c r="R74" s="59" t="n">
        <f aca="false">SUM(K74:Q74)</f>
        <v>0</v>
      </c>
      <c r="S74" s="60" t="n">
        <f aca="false">J74-R74</f>
        <v>0</v>
      </c>
      <c r="T74" s="82"/>
      <c r="U74" s="82"/>
      <c r="V74" s="83"/>
      <c r="W74" s="79"/>
      <c r="X74" s="80"/>
      <c r="Y74" s="80"/>
      <c r="Z74" s="80"/>
      <c r="AA74" s="59" t="n">
        <f aca="false">SUM(T74:Z74)</f>
        <v>0</v>
      </c>
      <c r="AB74" s="60" t="n">
        <f aca="false">S74-AA74</f>
        <v>0</v>
      </c>
      <c r="AC74" s="80"/>
      <c r="AD74" s="80"/>
      <c r="AE74" s="80"/>
      <c r="AF74" s="80"/>
      <c r="AG74" s="80"/>
      <c r="AH74" s="80"/>
      <c r="AI74" s="83"/>
      <c r="AJ74" s="65" t="n">
        <f aca="false">SUM(AC74:AI74)</f>
        <v>0</v>
      </c>
      <c r="AK74" s="60" t="n">
        <f aca="false">AB74-AJ74</f>
        <v>0</v>
      </c>
      <c r="AL74" s="80"/>
      <c r="AM74" s="80"/>
      <c r="AN74" s="80"/>
      <c r="AO74" s="80"/>
      <c r="AP74" s="75"/>
      <c r="AQ74" s="75"/>
      <c r="AR74" s="75"/>
      <c r="AS74" s="60" t="n">
        <f aca="false">SUM(AL74:AR74)</f>
        <v>0</v>
      </c>
      <c r="AT74" s="60" t="n">
        <f aca="false">AK74-AS74</f>
        <v>0</v>
      </c>
    </row>
    <row r="75" customFormat="false" ht="13.5" hidden="false" customHeight="true" outlineLevel="0" collapsed="false">
      <c r="A75" s="76"/>
      <c r="B75" s="77" t="s">
        <v>85</v>
      </c>
      <c r="C75" s="77" t="s">
        <v>14</v>
      </c>
      <c r="D75" s="78" t="n">
        <v>1160</v>
      </c>
      <c r="E75" s="56" t="n">
        <v>75</v>
      </c>
      <c r="F75" s="79"/>
      <c r="G75" s="80"/>
      <c r="H75" s="80"/>
      <c r="I75" s="59" t="n">
        <f aca="false">SUM(F75:H75)</f>
        <v>0</v>
      </c>
      <c r="J75" s="60" t="n">
        <f aca="false">E75-I75</f>
        <v>75</v>
      </c>
      <c r="K75" s="80"/>
      <c r="L75" s="81"/>
      <c r="M75" s="82" t="n">
        <v>5</v>
      </c>
      <c r="N75" s="82"/>
      <c r="O75" s="82"/>
      <c r="P75" s="82" t="n">
        <v>10</v>
      </c>
      <c r="Q75" s="82"/>
      <c r="R75" s="59" t="n">
        <f aca="false">SUM(K75:Q75)</f>
        <v>15</v>
      </c>
      <c r="S75" s="60" t="n">
        <f aca="false">J75-R75</f>
        <v>60</v>
      </c>
      <c r="T75" s="82"/>
      <c r="U75" s="82"/>
      <c r="V75" s="83"/>
      <c r="W75" s="79"/>
      <c r="X75" s="80"/>
      <c r="Y75" s="80"/>
      <c r="Z75" s="80"/>
      <c r="AA75" s="59" t="n">
        <f aca="false">SUM(T75:Z75)</f>
        <v>0</v>
      </c>
      <c r="AB75" s="60" t="n">
        <f aca="false">S75-AA75</f>
        <v>60</v>
      </c>
      <c r="AC75" s="80"/>
      <c r="AD75" s="80"/>
      <c r="AE75" s="80"/>
      <c r="AF75" s="80"/>
      <c r="AG75" s="80"/>
      <c r="AH75" s="80"/>
      <c r="AI75" s="83"/>
      <c r="AJ75" s="65" t="n">
        <f aca="false">SUM(AC75:AI75)</f>
        <v>0</v>
      </c>
      <c r="AK75" s="60" t="n">
        <f aca="false">AB75-AJ75</f>
        <v>60</v>
      </c>
      <c r="AL75" s="80"/>
      <c r="AM75" s="80"/>
      <c r="AN75" s="80"/>
      <c r="AO75" s="80"/>
      <c r="AP75" s="75"/>
      <c r="AQ75" s="75"/>
      <c r="AR75" s="75"/>
      <c r="AS75" s="60" t="n">
        <f aca="false">SUM(AL75:AR75)</f>
        <v>0</v>
      </c>
      <c r="AT75" s="60" t="n">
        <f aca="false">AK75-AS75</f>
        <v>60</v>
      </c>
    </row>
    <row r="76" customFormat="false" ht="13.5" hidden="false" customHeight="true" outlineLevel="0" collapsed="false">
      <c r="A76" s="76"/>
      <c r="B76" s="77" t="s">
        <v>86</v>
      </c>
      <c r="C76" s="77" t="s">
        <v>14</v>
      </c>
      <c r="D76" s="78" t="n">
        <v>482.350169491525</v>
      </c>
      <c r="E76" s="56" t="n">
        <v>24</v>
      </c>
      <c r="F76" s="79"/>
      <c r="G76" s="80"/>
      <c r="H76" s="80"/>
      <c r="I76" s="59" t="n">
        <f aca="false">SUM(F76:H76)</f>
        <v>0</v>
      </c>
      <c r="J76" s="60" t="n">
        <f aca="false">E76-I76</f>
        <v>24</v>
      </c>
      <c r="K76" s="80"/>
      <c r="L76" s="81"/>
      <c r="M76" s="82"/>
      <c r="N76" s="82"/>
      <c r="O76" s="82"/>
      <c r="P76" s="82"/>
      <c r="Q76" s="82"/>
      <c r="R76" s="59" t="n">
        <f aca="false">SUM(K76:Q76)</f>
        <v>0</v>
      </c>
      <c r="S76" s="60" t="n">
        <f aca="false">J76-R76</f>
        <v>24</v>
      </c>
      <c r="T76" s="82"/>
      <c r="U76" s="82"/>
      <c r="V76" s="83"/>
      <c r="W76" s="79"/>
      <c r="X76" s="80"/>
      <c r="Y76" s="80"/>
      <c r="Z76" s="80"/>
      <c r="AA76" s="59" t="n">
        <f aca="false">SUM(T76:Z76)</f>
        <v>0</v>
      </c>
      <c r="AB76" s="60" t="n">
        <f aca="false">S76-AA76</f>
        <v>24</v>
      </c>
      <c r="AC76" s="80"/>
      <c r="AD76" s="80"/>
      <c r="AE76" s="80"/>
      <c r="AF76" s="80"/>
      <c r="AG76" s="80"/>
      <c r="AH76" s="80"/>
      <c r="AI76" s="83"/>
      <c r="AJ76" s="65" t="n">
        <f aca="false">SUM(AC76:AI76)</f>
        <v>0</v>
      </c>
      <c r="AK76" s="60" t="n">
        <f aca="false">AB76-AJ76</f>
        <v>24</v>
      </c>
      <c r="AL76" s="80"/>
      <c r="AM76" s="80"/>
      <c r="AN76" s="80"/>
      <c r="AO76" s="80"/>
      <c r="AP76" s="75"/>
      <c r="AQ76" s="75"/>
      <c r="AR76" s="75"/>
      <c r="AS76" s="60" t="n">
        <f aca="false">SUM(AL76:AR76)</f>
        <v>0</v>
      </c>
      <c r="AT76" s="60" t="n">
        <f aca="false">AK76-AS76</f>
        <v>24</v>
      </c>
    </row>
    <row r="77" customFormat="false" ht="13.5" hidden="false" customHeight="true" outlineLevel="0" collapsed="false">
      <c r="A77" s="76"/>
      <c r="B77" s="77" t="s">
        <v>87</v>
      </c>
      <c r="C77" s="77" t="s">
        <v>16</v>
      </c>
      <c r="D77" s="78" t="n">
        <v>119.03</v>
      </c>
      <c r="E77" s="56" t="n">
        <v>93.6</v>
      </c>
      <c r="F77" s="79"/>
      <c r="G77" s="80" t="n">
        <v>21.6</v>
      </c>
      <c r="H77" s="80"/>
      <c r="I77" s="59" t="n">
        <f aca="false">SUM(F77:H77)</f>
        <v>21.6</v>
      </c>
      <c r="J77" s="60" t="n">
        <f aca="false">E77-I77</f>
        <v>72</v>
      </c>
      <c r="K77" s="80" t="n">
        <v>10.8</v>
      </c>
      <c r="L77" s="81"/>
      <c r="M77" s="82" t="n">
        <v>21.6</v>
      </c>
      <c r="N77" s="82"/>
      <c r="O77" s="82" t="n">
        <v>21.6</v>
      </c>
      <c r="P77" s="82"/>
      <c r="Q77" s="82"/>
      <c r="R77" s="59" t="n">
        <f aca="false">SUM(K77:Q77)</f>
        <v>54</v>
      </c>
      <c r="S77" s="60" t="n">
        <f aca="false">J77-R77+97.2</f>
        <v>115.2</v>
      </c>
      <c r="T77" s="82"/>
      <c r="U77" s="82"/>
      <c r="V77" s="83" t="n">
        <v>21.6</v>
      </c>
      <c r="W77" s="79"/>
      <c r="X77" s="80" t="n">
        <v>24</v>
      </c>
      <c r="Y77" s="80"/>
      <c r="Z77" s="80"/>
      <c r="AA77" s="59" t="n">
        <f aca="false">SUM(T77:Z77)</f>
        <v>45.6</v>
      </c>
      <c r="AB77" s="60" t="n">
        <f aca="false">S77-AA77</f>
        <v>69.6</v>
      </c>
      <c r="AC77" s="80"/>
      <c r="AD77" s="80" t="n">
        <v>24</v>
      </c>
      <c r="AE77" s="80"/>
      <c r="AF77" s="80"/>
      <c r="AG77" s="80"/>
      <c r="AH77" s="80"/>
      <c r="AI77" s="83"/>
      <c r="AJ77" s="65" t="n">
        <f aca="false">SUM(AC77:AI77)</f>
        <v>24</v>
      </c>
      <c r="AK77" s="60" t="n">
        <f aca="false">AB77-AJ77</f>
        <v>45.6</v>
      </c>
      <c r="AL77" s="80"/>
      <c r="AM77" s="80"/>
      <c r="AN77" s="80"/>
      <c r="AO77" s="80"/>
      <c r="AP77" s="75"/>
      <c r="AQ77" s="75"/>
      <c r="AR77" s="75"/>
      <c r="AS77" s="60" t="n">
        <f aca="false">SUM(AL77:AR77)</f>
        <v>0</v>
      </c>
      <c r="AT77" s="60" t="n">
        <f aca="false">AK77-AS77</f>
        <v>45.6</v>
      </c>
    </row>
    <row r="78" customFormat="false" ht="13.5" hidden="false" customHeight="true" outlineLevel="0" collapsed="false">
      <c r="A78" s="76"/>
      <c r="B78" s="77" t="s">
        <v>88</v>
      </c>
      <c r="C78" s="77" t="s">
        <v>14</v>
      </c>
      <c r="D78" s="78" t="n">
        <v>290.264994232987</v>
      </c>
      <c r="E78" s="56" t="n">
        <v>58.5</v>
      </c>
      <c r="F78" s="79"/>
      <c r="G78" s="80"/>
      <c r="H78" s="80"/>
      <c r="I78" s="59" t="n">
        <f aca="false">SUM(F78:H78)</f>
        <v>0</v>
      </c>
      <c r="J78" s="60" t="n">
        <f aca="false">E78-I78</f>
        <v>58.5</v>
      </c>
      <c r="K78" s="80"/>
      <c r="L78" s="81"/>
      <c r="M78" s="82"/>
      <c r="N78" s="82"/>
      <c r="O78" s="82"/>
      <c r="P78" s="82"/>
      <c r="Q78" s="82"/>
      <c r="R78" s="59" t="n">
        <f aca="false">SUM(K78:Q78)</f>
        <v>0</v>
      </c>
      <c r="S78" s="60" t="n">
        <f aca="false">J78-R78</f>
        <v>58.5</v>
      </c>
      <c r="T78" s="82"/>
      <c r="U78" s="82"/>
      <c r="V78" s="83"/>
      <c r="W78" s="79"/>
      <c r="X78" s="80"/>
      <c r="Y78" s="80"/>
      <c r="Z78" s="80"/>
      <c r="AA78" s="59" t="n">
        <f aca="false">SUM(T78:Z78)</f>
        <v>0</v>
      </c>
      <c r="AB78" s="60" t="n">
        <f aca="false">S78-AA78</f>
        <v>58.5</v>
      </c>
      <c r="AC78" s="80" t="n">
        <v>2.16</v>
      </c>
      <c r="AD78" s="80"/>
      <c r="AE78" s="80"/>
      <c r="AF78" s="80"/>
      <c r="AG78" s="80"/>
      <c r="AH78" s="80"/>
      <c r="AI78" s="83"/>
      <c r="AJ78" s="65" t="n">
        <f aca="false">SUM(AC78:AI78)</f>
        <v>2.16</v>
      </c>
      <c r="AK78" s="60" t="n">
        <f aca="false">AB78-AJ78</f>
        <v>56.34</v>
      </c>
      <c r="AL78" s="80"/>
      <c r="AM78" s="80"/>
      <c r="AN78" s="80"/>
      <c r="AO78" s="80"/>
      <c r="AP78" s="75"/>
      <c r="AQ78" s="75"/>
      <c r="AR78" s="75"/>
      <c r="AS78" s="60" t="n">
        <f aca="false">SUM(AL78:AR78)</f>
        <v>0</v>
      </c>
      <c r="AT78" s="60" t="n">
        <f aca="false">AK78-AS78</f>
        <v>56.34</v>
      </c>
    </row>
    <row r="79" customFormat="false" ht="13.5" hidden="false" customHeight="true" outlineLevel="0" collapsed="false">
      <c r="A79" s="76"/>
      <c r="B79" s="77" t="s">
        <v>89</v>
      </c>
      <c r="C79" s="77" t="s">
        <v>19</v>
      </c>
      <c r="D79" s="78" t="n">
        <v>52.57</v>
      </c>
      <c r="E79" s="56" t="n">
        <v>225</v>
      </c>
      <c r="F79" s="79"/>
      <c r="G79" s="80"/>
      <c r="H79" s="80"/>
      <c r="I79" s="59" t="n">
        <f aca="false">SUM(F79:H79)</f>
        <v>0</v>
      </c>
      <c r="J79" s="60" t="n">
        <f aca="false">E79-I79</f>
        <v>225</v>
      </c>
      <c r="K79" s="80"/>
      <c r="L79" s="81"/>
      <c r="M79" s="82" t="n">
        <v>15</v>
      </c>
      <c r="N79" s="82"/>
      <c r="O79" s="82" t="n">
        <v>15</v>
      </c>
      <c r="P79" s="82"/>
      <c r="Q79" s="82"/>
      <c r="R79" s="59" t="n">
        <f aca="false">SUM(K79:Q79)</f>
        <v>30</v>
      </c>
      <c r="S79" s="60" t="n">
        <f aca="false">J79-R79</f>
        <v>195</v>
      </c>
      <c r="T79" s="82"/>
      <c r="U79" s="82" t="n">
        <v>70</v>
      </c>
      <c r="V79" s="83"/>
      <c r="W79" s="79" t="n">
        <v>15</v>
      </c>
      <c r="X79" s="80"/>
      <c r="Y79" s="80" t="n">
        <v>70</v>
      </c>
      <c r="Z79" s="80"/>
      <c r="AA79" s="59" t="n">
        <f aca="false">SUM(T79:Z79)</f>
        <v>155</v>
      </c>
      <c r="AB79" s="60" t="n">
        <f aca="false">S79-AA79</f>
        <v>40</v>
      </c>
      <c r="AC79" s="80"/>
      <c r="AD79" s="80"/>
      <c r="AE79" s="80"/>
      <c r="AF79" s="80"/>
      <c r="AG79" s="80"/>
      <c r="AH79" s="80"/>
      <c r="AI79" s="83"/>
      <c r="AJ79" s="65" t="n">
        <f aca="false">SUM(AC79:AI79)</f>
        <v>0</v>
      </c>
      <c r="AK79" s="60" t="n">
        <f aca="false">AB79-AJ79</f>
        <v>40</v>
      </c>
      <c r="AL79" s="80"/>
      <c r="AM79" s="80"/>
      <c r="AN79" s="80"/>
      <c r="AO79" s="80"/>
      <c r="AP79" s="75"/>
      <c r="AQ79" s="75"/>
      <c r="AR79" s="75"/>
      <c r="AS79" s="60" t="n">
        <f aca="false">SUM(AL79:AR79)</f>
        <v>0</v>
      </c>
      <c r="AT79" s="60" t="n">
        <f aca="false">AK79-AS79</f>
        <v>40</v>
      </c>
    </row>
    <row r="80" customFormat="false" ht="13.5" hidden="false" customHeight="true" outlineLevel="0" collapsed="false">
      <c r="A80" s="76"/>
      <c r="B80" s="77" t="s">
        <v>90</v>
      </c>
      <c r="C80" s="77" t="s">
        <v>14</v>
      </c>
      <c r="D80" s="78" t="n">
        <v>529</v>
      </c>
      <c r="E80" s="56" t="n">
        <v>12.54</v>
      </c>
      <c r="F80" s="79"/>
      <c r="G80" s="80"/>
      <c r="H80" s="80"/>
      <c r="I80" s="59" t="n">
        <f aca="false">SUM(F80:H80)</f>
        <v>0</v>
      </c>
      <c r="J80" s="60" t="n">
        <f aca="false">E80-I80</f>
        <v>12.54</v>
      </c>
      <c r="K80" s="80"/>
      <c r="L80" s="81"/>
      <c r="M80" s="82"/>
      <c r="N80" s="82"/>
      <c r="O80" s="82"/>
      <c r="P80" s="82"/>
      <c r="Q80" s="82"/>
      <c r="R80" s="59" t="n">
        <f aca="false">SUM(K80:Q80)</f>
        <v>0</v>
      </c>
      <c r="S80" s="60" t="n">
        <f aca="false">J80-R80+39.96</f>
        <v>52.5</v>
      </c>
      <c r="T80" s="82"/>
      <c r="U80" s="82"/>
      <c r="V80" s="83"/>
      <c r="W80" s="79"/>
      <c r="X80" s="80"/>
      <c r="Y80" s="80"/>
      <c r="Z80" s="80"/>
      <c r="AA80" s="59" t="n">
        <f aca="false">SUM(T80:Z80)</f>
        <v>0</v>
      </c>
      <c r="AB80" s="60" t="n">
        <f aca="false">S80-AA80</f>
        <v>52.5</v>
      </c>
      <c r="AC80" s="80"/>
      <c r="AD80" s="80"/>
      <c r="AE80" s="80" t="n">
        <v>3.8</v>
      </c>
      <c r="AF80" s="80"/>
      <c r="AG80" s="80"/>
      <c r="AH80" s="80"/>
      <c r="AI80" s="83"/>
      <c r="AJ80" s="65" t="n">
        <f aca="false">SUM(AC80:AI80)</f>
        <v>3.8</v>
      </c>
      <c r="AK80" s="60" t="n">
        <f aca="false">AB80-AJ80</f>
        <v>48.7</v>
      </c>
      <c r="AL80" s="80"/>
      <c r="AM80" s="80"/>
      <c r="AN80" s="80"/>
      <c r="AO80" s="80"/>
      <c r="AP80" s="75"/>
      <c r="AQ80" s="75"/>
      <c r="AR80" s="75"/>
      <c r="AS80" s="60" t="n">
        <f aca="false">SUM(AL80:AR80)</f>
        <v>0</v>
      </c>
      <c r="AT80" s="60" t="n">
        <f aca="false">AK80-AS80</f>
        <v>48.7</v>
      </c>
    </row>
    <row r="81" customFormat="false" ht="13.5" hidden="false" customHeight="true" outlineLevel="0" collapsed="false">
      <c r="A81" s="76"/>
      <c r="B81" s="77" t="s">
        <v>91</v>
      </c>
      <c r="C81" s="77" t="s">
        <v>14</v>
      </c>
      <c r="D81" s="78" t="n">
        <v>33</v>
      </c>
      <c r="E81" s="56" t="n">
        <v>1175</v>
      </c>
      <c r="F81" s="79"/>
      <c r="G81" s="80"/>
      <c r="H81" s="80" t="n">
        <v>50</v>
      </c>
      <c r="I81" s="59" t="n">
        <f aca="false">SUM(F81:H81)</f>
        <v>50</v>
      </c>
      <c r="J81" s="60" t="n">
        <f aca="false">E81-I81</f>
        <v>1125</v>
      </c>
      <c r="K81" s="80"/>
      <c r="L81" s="81"/>
      <c r="M81" s="82"/>
      <c r="N81" s="82" t="n">
        <v>50</v>
      </c>
      <c r="O81" s="82"/>
      <c r="P81" s="82"/>
      <c r="Q81" s="82"/>
      <c r="R81" s="59" t="n">
        <f aca="false">SUM(K81:Q81)</f>
        <v>50</v>
      </c>
      <c r="S81" s="60" t="n">
        <f aca="false">J81-R81</f>
        <v>1075</v>
      </c>
      <c r="T81" s="82"/>
      <c r="U81" s="82" t="n">
        <v>50</v>
      </c>
      <c r="V81" s="83"/>
      <c r="W81" s="79"/>
      <c r="X81" s="80" t="n">
        <v>50</v>
      </c>
      <c r="Y81" s="80"/>
      <c r="Z81" s="80"/>
      <c r="AA81" s="59" t="n">
        <f aca="false">SUM(T81:Z81)</f>
        <v>100</v>
      </c>
      <c r="AB81" s="60" t="n">
        <f aca="false">S81-AA81</f>
        <v>975</v>
      </c>
      <c r="AC81" s="80"/>
      <c r="AD81" s="80"/>
      <c r="AE81" s="80" t="n">
        <v>50</v>
      </c>
      <c r="AF81" s="80"/>
      <c r="AG81" s="80"/>
      <c r="AH81" s="80"/>
      <c r="AI81" s="83"/>
      <c r="AJ81" s="65" t="n">
        <f aca="false">SUM(AC81:AI81)</f>
        <v>50</v>
      </c>
      <c r="AK81" s="60" t="n">
        <f aca="false">AB81-AJ81</f>
        <v>925</v>
      </c>
      <c r="AL81" s="80"/>
      <c r="AM81" s="80"/>
      <c r="AN81" s="80"/>
      <c r="AO81" s="80"/>
      <c r="AP81" s="75"/>
      <c r="AQ81" s="75"/>
      <c r="AR81" s="75"/>
      <c r="AS81" s="60" t="n">
        <f aca="false">SUM(AL81:AR81)</f>
        <v>0</v>
      </c>
      <c r="AT81" s="60" t="n">
        <f aca="false">AK81-AS81</f>
        <v>925</v>
      </c>
    </row>
    <row r="82" customFormat="false" ht="13.5" hidden="false" customHeight="true" outlineLevel="0" collapsed="false">
      <c r="A82" s="76"/>
      <c r="B82" s="77" t="s">
        <v>92</v>
      </c>
      <c r="C82" s="77" t="s">
        <v>14</v>
      </c>
      <c r="D82" s="78" t="n">
        <v>36.3</v>
      </c>
      <c r="E82" s="56" t="n">
        <v>250</v>
      </c>
      <c r="F82" s="79"/>
      <c r="G82" s="80" t="n">
        <v>100</v>
      </c>
      <c r="H82" s="80"/>
      <c r="I82" s="59" t="n">
        <f aca="false">SUM(F82:H82)</f>
        <v>100</v>
      </c>
      <c r="J82" s="60" t="n">
        <f aca="false">E82-I82</f>
        <v>150</v>
      </c>
      <c r="K82" s="80"/>
      <c r="L82" s="81"/>
      <c r="M82" s="82"/>
      <c r="N82" s="82"/>
      <c r="O82" s="82"/>
      <c r="P82" s="82"/>
      <c r="Q82" s="82" t="n">
        <v>50</v>
      </c>
      <c r="R82" s="59" t="n">
        <f aca="false">SUM(K82:Q82)</f>
        <v>50</v>
      </c>
      <c r="S82" s="60" t="n">
        <f aca="false">J82-R82</f>
        <v>100</v>
      </c>
      <c r="T82" s="82"/>
      <c r="U82" s="82"/>
      <c r="V82" s="83"/>
      <c r="W82" s="79"/>
      <c r="X82" s="80"/>
      <c r="Y82" s="80"/>
      <c r="Z82" s="80"/>
      <c r="AA82" s="59" t="n">
        <f aca="false">SUM(T82:Z82)</f>
        <v>0</v>
      </c>
      <c r="AB82" s="60" t="n">
        <f aca="false">S82-AA82</f>
        <v>100</v>
      </c>
      <c r="AC82" s="80"/>
      <c r="AD82" s="80"/>
      <c r="AE82" s="80" t="n">
        <v>50</v>
      </c>
      <c r="AF82" s="80"/>
      <c r="AG82" s="80"/>
      <c r="AH82" s="80"/>
      <c r="AI82" s="83"/>
      <c r="AJ82" s="65" t="n">
        <f aca="false">SUM(AC82:AI82)</f>
        <v>50</v>
      </c>
      <c r="AK82" s="60" t="n">
        <f aca="false">AB82-AJ82</f>
        <v>50</v>
      </c>
      <c r="AL82" s="80"/>
      <c r="AM82" s="80"/>
      <c r="AN82" s="80"/>
      <c r="AO82" s="80"/>
      <c r="AP82" s="75"/>
      <c r="AQ82" s="75"/>
      <c r="AR82" s="75"/>
      <c r="AS82" s="60" t="n">
        <f aca="false">SUM(AL82:AR82)</f>
        <v>0</v>
      </c>
      <c r="AT82" s="60" t="n">
        <f aca="false">AK82-AS82</f>
        <v>50</v>
      </c>
    </row>
    <row r="83" customFormat="false" ht="13.5" hidden="false" customHeight="true" outlineLevel="0" collapsed="false">
      <c r="A83" s="76"/>
      <c r="B83" s="77" t="s">
        <v>93</v>
      </c>
      <c r="C83" s="77" t="s">
        <v>14</v>
      </c>
      <c r="D83" s="78" t="n">
        <v>32.45</v>
      </c>
      <c r="E83" s="56" t="n">
        <v>30</v>
      </c>
      <c r="F83" s="79"/>
      <c r="G83" s="80"/>
      <c r="H83" s="80"/>
      <c r="I83" s="59" t="n">
        <f aca="false">SUM(F83:H83)</f>
        <v>0</v>
      </c>
      <c r="J83" s="60" t="n">
        <f aca="false">E83-I83</f>
        <v>30</v>
      </c>
      <c r="K83" s="80"/>
      <c r="L83" s="81"/>
      <c r="M83" s="82"/>
      <c r="N83" s="82"/>
      <c r="O83" s="82"/>
      <c r="P83" s="82"/>
      <c r="Q83" s="82"/>
      <c r="R83" s="59" t="n">
        <f aca="false">SUM(K83:Q83)</f>
        <v>0</v>
      </c>
      <c r="S83" s="60" t="n">
        <f aca="false">J83-R83</f>
        <v>30</v>
      </c>
      <c r="T83" s="82"/>
      <c r="U83" s="82"/>
      <c r="V83" s="83"/>
      <c r="W83" s="79"/>
      <c r="X83" s="80"/>
      <c r="Y83" s="80"/>
      <c r="Z83" s="80"/>
      <c r="AA83" s="59" t="n">
        <f aca="false">SUM(T83:Z83)</f>
        <v>0</v>
      </c>
      <c r="AB83" s="60" t="n">
        <f aca="false">S83-AA83</f>
        <v>30</v>
      </c>
      <c r="AC83" s="80"/>
      <c r="AD83" s="80"/>
      <c r="AE83" s="80"/>
      <c r="AF83" s="80"/>
      <c r="AG83" s="80"/>
      <c r="AH83" s="80"/>
      <c r="AI83" s="83"/>
      <c r="AJ83" s="65" t="n">
        <f aca="false">SUM(AC83:AI83)</f>
        <v>0</v>
      </c>
      <c r="AK83" s="60" t="n">
        <f aca="false">AB83-AJ83</f>
        <v>30</v>
      </c>
      <c r="AL83" s="80"/>
      <c r="AM83" s="80"/>
      <c r="AN83" s="80"/>
      <c r="AP83" s="75"/>
      <c r="AQ83" s="75"/>
      <c r="AR83" s="75"/>
      <c r="AS83" s="60" t="n">
        <f aca="false">SUM(AL83:AR83)</f>
        <v>0</v>
      </c>
      <c r="AT83" s="60" t="n">
        <f aca="false">AK83-AS83</f>
        <v>30</v>
      </c>
    </row>
    <row r="84" customFormat="false" ht="13.5" hidden="false" customHeight="true" outlineLevel="0" collapsed="false">
      <c r="A84" s="76"/>
      <c r="B84" s="77" t="s">
        <v>94</v>
      </c>
      <c r="C84" s="77" t="s">
        <v>14</v>
      </c>
      <c r="D84" s="78" t="n">
        <v>577.799610515091</v>
      </c>
      <c r="E84" s="56" t="n">
        <v>454.48</v>
      </c>
      <c r="F84" s="79" t="n">
        <v>36.3</v>
      </c>
      <c r="G84" s="80"/>
      <c r="H84" s="80" t="n">
        <v>40.5</v>
      </c>
      <c r="I84" s="59" t="n">
        <f aca="false">SUM(F84:H84)</f>
        <v>76.8</v>
      </c>
      <c r="J84" s="60" t="n">
        <f aca="false">E84-I84</f>
        <v>377.68</v>
      </c>
      <c r="K84" s="80"/>
      <c r="L84" s="81" t="n">
        <v>42.06</v>
      </c>
      <c r="M84" s="82" t="n">
        <v>40</v>
      </c>
      <c r="N84" s="82"/>
      <c r="O84" s="82" t="n">
        <v>40</v>
      </c>
      <c r="P84" s="82"/>
      <c r="Q84" s="82" t="n">
        <v>20</v>
      </c>
      <c r="R84" s="59" t="n">
        <f aca="false">SUM(K84:Q84)</f>
        <v>142.06</v>
      </c>
      <c r="S84" s="60" t="n">
        <f aca="false">J84-R84+300</f>
        <v>535.62</v>
      </c>
      <c r="T84" s="82" t="n">
        <v>55.72</v>
      </c>
      <c r="U84" s="82"/>
      <c r="V84" s="83" t="n">
        <v>40</v>
      </c>
      <c r="W84" s="79"/>
      <c r="X84" s="80" t="n">
        <v>40</v>
      </c>
      <c r="Y84" s="80"/>
      <c r="Z84" s="80" t="n">
        <v>20</v>
      </c>
      <c r="AA84" s="59" t="n">
        <f aca="false">SUM(T84:Z84)</f>
        <v>155.72</v>
      </c>
      <c r="AB84" s="60" t="n">
        <f aca="false">S84-AA84</f>
        <v>379.9</v>
      </c>
      <c r="AC84" s="80" t="n">
        <v>40</v>
      </c>
      <c r="AD84" s="80" t="n">
        <v>20</v>
      </c>
      <c r="AE84" s="80" t="n">
        <v>20</v>
      </c>
      <c r="AF84" s="80"/>
      <c r="AG84" s="80"/>
      <c r="AH84" s="80"/>
      <c r="AI84" s="83"/>
      <c r="AJ84" s="65" t="n">
        <f aca="false">SUM(AC84:AI84)</f>
        <v>80</v>
      </c>
      <c r="AK84" s="60" t="n">
        <f aca="false">AB84-AJ84</f>
        <v>299.9</v>
      </c>
      <c r="AL84" s="80"/>
      <c r="AM84" s="80"/>
      <c r="AN84" s="80"/>
      <c r="AO84" s="80"/>
      <c r="AP84" s="75"/>
      <c r="AQ84" s="75"/>
      <c r="AR84" s="75"/>
      <c r="AS84" s="60" t="n">
        <f aca="false">SUM(AL84:AR84)</f>
        <v>0</v>
      </c>
      <c r="AT84" s="60" t="n">
        <f aca="false">AK84-AS84</f>
        <v>299.9</v>
      </c>
    </row>
    <row r="85" customFormat="false" ht="13.5" hidden="false" customHeight="true" outlineLevel="0" collapsed="false">
      <c r="A85" s="76"/>
      <c r="B85" s="77" t="s">
        <v>95</v>
      </c>
      <c r="C85" s="77" t="s">
        <v>14</v>
      </c>
      <c r="D85" s="78" t="n">
        <v>261</v>
      </c>
      <c r="E85" s="56" t="n">
        <v>43.474</v>
      </c>
      <c r="F85" s="79"/>
      <c r="G85" s="80"/>
      <c r="H85" s="80"/>
      <c r="I85" s="59" t="n">
        <f aca="false">SUM(F85:H85)</f>
        <v>0</v>
      </c>
      <c r="J85" s="60" t="n">
        <f aca="false">E85-I85</f>
        <v>43.474</v>
      </c>
      <c r="K85" s="80" t="n">
        <v>8.242</v>
      </c>
      <c r="L85" s="81"/>
      <c r="M85" s="82"/>
      <c r="N85" s="82"/>
      <c r="O85" s="82"/>
      <c r="P85" s="82"/>
      <c r="Q85" s="82"/>
      <c r="R85" s="59" t="n">
        <f aca="false">SUM(K85:Q85)</f>
        <v>8.242</v>
      </c>
      <c r="S85" s="60" t="n">
        <f aca="false">J85-R85</f>
        <v>35.232</v>
      </c>
      <c r="T85" s="82"/>
      <c r="U85" s="82" t="n">
        <v>9.284</v>
      </c>
      <c r="V85" s="83"/>
      <c r="W85" s="79"/>
      <c r="X85" s="80"/>
      <c r="Y85" s="80"/>
      <c r="Z85" s="80"/>
      <c r="AA85" s="59" t="n">
        <f aca="false">SUM(T85:Z85)</f>
        <v>9.284</v>
      </c>
      <c r="AB85" s="60" t="n">
        <f aca="false">S85-AA85</f>
        <v>25.948</v>
      </c>
      <c r="AC85" s="80"/>
      <c r="AD85" s="80"/>
      <c r="AE85" s="80"/>
      <c r="AF85" s="80"/>
      <c r="AG85" s="80"/>
      <c r="AH85" s="80"/>
      <c r="AI85" s="83"/>
      <c r="AJ85" s="65" t="n">
        <f aca="false">SUM(AC85:AI85)</f>
        <v>0</v>
      </c>
      <c r="AK85" s="60" t="n">
        <f aca="false">AB85-AJ85</f>
        <v>25.948</v>
      </c>
      <c r="AL85" s="80"/>
      <c r="AM85" s="80"/>
      <c r="AN85" s="80"/>
      <c r="AO85" s="80"/>
      <c r="AP85" s="75"/>
      <c r="AQ85" s="75"/>
      <c r="AR85" s="75"/>
      <c r="AS85" s="60" t="n">
        <f aca="false">SUM(AL85:AR85)</f>
        <v>0</v>
      </c>
      <c r="AT85" s="60" t="n">
        <f aca="false">AK85-AS85</f>
        <v>25.948</v>
      </c>
    </row>
    <row r="86" customFormat="false" ht="13.5" hidden="false" customHeight="true" outlineLevel="0" collapsed="false">
      <c r="A86" s="76"/>
      <c r="B86" s="77" t="s">
        <v>96</v>
      </c>
      <c r="C86" s="77" t="s">
        <v>23</v>
      </c>
      <c r="D86" s="78" t="n">
        <v>236.5</v>
      </c>
      <c r="E86" s="56" t="n">
        <v>12.2</v>
      </c>
      <c r="F86" s="79" t="n">
        <v>9.612</v>
      </c>
      <c r="G86" s="80"/>
      <c r="H86" s="80"/>
      <c r="I86" s="59" t="n">
        <f aca="false">SUM(F86:H86)</f>
        <v>9.612</v>
      </c>
      <c r="J86" s="60" t="n">
        <f aca="false">E86-I86</f>
        <v>2.588</v>
      </c>
      <c r="K86" s="80"/>
      <c r="L86" s="81"/>
      <c r="M86" s="82"/>
      <c r="N86" s="82"/>
      <c r="O86" s="82"/>
      <c r="P86" s="82"/>
      <c r="Q86" s="82"/>
      <c r="R86" s="59" t="n">
        <f aca="false">SUM(K86:Q86)</f>
        <v>0</v>
      </c>
      <c r="S86" s="60" t="n">
        <f aca="false">J86-R86+105</f>
        <v>107.588</v>
      </c>
      <c r="T86" s="82" t="n">
        <v>2.59</v>
      </c>
      <c r="U86" s="82"/>
      <c r="V86" s="83"/>
      <c r="W86" s="79"/>
      <c r="X86" s="80"/>
      <c r="Y86" s="80"/>
      <c r="Z86" s="80"/>
      <c r="AA86" s="59" t="n">
        <f aca="false">SUM(T86:Z86)</f>
        <v>2.59</v>
      </c>
      <c r="AB86" s="60" t="n">
        <f aca="false">S86-AA86</f>
        <v>104.998</v>
      </c>
      <c r="AC86" s="80"/>
      <c r="AD86" s="80"/>
      <c r="AE86" s="80"/>
      <c r="AF86" s="80"/>
      <c r="AG86" s="80"/>
      <c r="AH86" s="80"/>
      <c r="AI86" s="83"/>
      <c r="AJ86" s="65" t="n">
        <f aca="false">SUM(AC86:AI86)</f>
        <v>0</v>
      </c>
      <c r="AK86" s="60" t="n">
        <f aca="false">AB86-AJ86</f>
        <v>104.998</v>
      </c>
      <c r="AL86" s="80"/>
      <c r="AM86" s="80"/>
      <c r="AN86" s="80"/>
      <c r="AO86" s="80"/>
      <c r="AP86" s="75"/>
      <c r="AQ86" s="75"/>
      <c r="AR86" s="75"/>
      <c r="AS86" s="60" t="n">
        <f aca="false">SUM(AL86:AR86)</f>
        <v>0</v>
      </c>
      <c r="AT86" s="60" t="n">
        <f aca="false">AK86-AS86</f>
        <v>104.998</v>
      </c>
    </row>
    <row r="87" customFormat="false" ht="13.5" hidden="false" customHeight="true" outlineLevel="0" collapsed="false">
      <c r="A87" s="76"/>
      <c r="B87" s="77" t="s">
        <v>97</v>
      </c>
      <c r="C87" s="77" t="s">
        <v>14</v>
      </c>
      <c r="D87" s="78" t="n">
        <v>236.5</v>
      </c>
      <c r="E87" s="56" t="n">
        <v>148.52</v>
      </c>
      <c r="F87" s="79"/>
      <c r="G87" s="80" t="n">
        <v>10</v>
      </c>
      <c r="H87" s="80"/>
      <c r="I87" s="59" t="n">
        <f aca="false">SUM(F87:H87)</f>
        <v>10</v>
      </c>
      <c r="J87" s="60" t="n">
        <f aca="false">E87-I87</f>
        <v>138.52</v>
      </c>
      <c r="K87" s="80" t="n">
        <v>25.44</v>
      </c>
      <c r="L87" s="81"/>
      <c r="M87" s="82"/>
      <c r="N87" s="82" t="n">
        <v>13.85</v>
      </c>
      <c r="O87" s="82" t="n">
        <v>24</v>
      </c>
      <c r="P87" s="82"/>
      <c r="Q87" s="82"/>
      <c r="R87" s="59" t="n">
        <f aca="false">SUM(K87:Q87)</f>
        <v>63.29</v>
      </c>
      <c r="S87" s="60" t="n">
        <f aca="false">J87-R87</f>
        <v>75.23</v>
      </c>
      <c r="T87" s="82" t="n">
        <v>11.17</v>
      </c>
      <c r="U87" s="82"/>
      <c r="V87" s="83" t="n">
        <v>25.41</v>
      </c>
      <c r="W87" s="79" t="n">
        <v>13.16</v>
      </c>
      <c r="X87" s="80"/>
      <c r="Y87" s="80"/>
      <c r="Z87" s="80"/>
      <c r="AA87" s="59" t="n">
        <f aca="false">SUM(T87:Z87)</f>
        <v>49.74</v>
      </c>
      <c r="AB87" s="60" t="n">
        <f aca="false">S87-AA87</f>
        <v>25.49</v>
      </c>
      <c r="AC87" s="80" t="n">
        <v>27</v>
      </c>
      <c r="AD87" s="80"/>
      <c r="AE87" s="80"/>
      <c r="AF87" s="80"/>
      <c r="AG87" s="80"/>
      <c r="AH87" s="80"/>
      <c r="AI87" s="83"/>
      <c r="AJ87" s="65" t="n">
        <f aca="false">SUM(AC87:AI87)</f>
        <v>27</v>
      </c>
      <c r="AK87" s="60" t="n">
        <f aca="false">AB87-AJ87</f>
        <v>-1.50999999999999</v>
      </c>
      <c r="AL87" s="80"/>
      <c r="AM87" s="80"/>
      <c r="AN87" s="80"/>
      <c r="AO87" s="80"/>
      <c r="AP87" s="75"/>
      <c r="AQ87" s="75"/>
      <c r="AR87" s="75"/>
      <c r="AS87" s="60" t="n">
        <f aca="false">SUM(AL87:AR87)</f>
        <v>0</v>
      </c>
      <c r="AT87" s="60" t="n">
        <f aca="false">AK87-AS87</f>
        <v>-1.50999999999999</v>
      </c>
    </row>
    <row r="88" customFormat="false" ht="13.5" hidden="false" customHeight="true" outlineLevel="0" collapsed="false">
      <c r="A88" s="76"/>
      <c r="B88" s="77" t="s">
        <v>98</v>
      </c>
      <c r="C88" s="77" t="s">
        <v>14</v>
      </c>
      <c r="D88" s="78" t="n">
        <v>308.85</v>
      </c>
      <c r="E88" s="56" t="n">
        <v>97.888</v>
      </c>
      <c r="F88" s="79"/>
      <c r="G88" s="80"/>
      <c r="H88" s="80"/>
      <c r="I88" s="59" t="n">
        <f aca="false">SUM(F88:H88)</f>
        <v>0</v>
      </c>
      <c r="J88" s="60" t="n">
        <f aca="false">E88-I88</f>
        <v>97.888</v>
      </c>
      <c r="K88" s="80" t="n">
        <v>5.842</v>
      </c>
      <c r="L88" s="81"/>
      <c r="M88" s="82" t="n">
        <v>8.2</v>
      </c>
      <c r="N88" s="82" t="n">
        <v>8.4</v>
      </c>
      <c r="O88" s="82"/>
      <c r="P88" s="82"/>
      <c r="Q88" s="82" t="n">
        <v>6.3</v>
      </c>
      <c r="R88" s="59" t="n">
        <f aca="false">SUM(K88:Q88)</f>
        <v>28.742</v>
      </c>
      <c r="S88" s="60" t="n">
        <f aca="false">J88-R88+167.479</f>
        <v>236.625</v>
      </c>
      <c r="T88" s="82"/>
      <c r="U88" s="82"/>
      <c r="V88" s="83"/>
      <c r="W88" s="79"/>
      <c r="X88" s="80"/>
      <c r="Y88" s="80"/>
      <c r="Z88" s="80" t="n">
        <v>14</v>
      </c>
      <c r="AA88" s="59" t="n">
        <f aca="false">SUM(T88:Z88)</f>
        <v>14</v>
      </c>
      <c r="AB88" s="60" t="n">
        <f aca="false">S88-AA88</f>
        <v>222.625</v>
      </c>
      <c r="AC88" s="80"/>
      <c r="AD88" s="80" t="n">
        <v>13.2</v>
      </c>
      <c r="AE88" s="80"/>
      <c r="AF88" s="80"/>
      <c r="AG88" s="80"/>
      <c r="AH88" s="80"/>
      <c r="AI88" s="83"/>
      <c r="AJ88" s="65" t="n">
        <f aca="false">SUM(AC88:AI88)</f>
        <v>13.2</v>
      </c>
      <c r="AK88" s="60" t="n">
        <f aca="false">AB88-AJ88</f>
        <v>209.425</v>
      </c>
      <c r="AL88" s="80"/>
      <c r="AM88" s="80"/>
      <c r="AN88" s="80"/>
      <c r="AO88" s="80"/>
      <c r="AP88" s="75"/>
      <c r="AQ88" s="75"/>
      <c r="AR88" s="75"/>
      <c r="AS88" s="60" t="n">
        <f aca="false">SUM(AL88:AR88)</f>
        <v>0</v>
      </c>
      <c r="AT88" s="60" t="n">
        <f aca="false">AK88-AS88</f>
        <v>209.425</v>
      </c>
    </row>
    <row r="89" customFormat="false" ht="13.5" hidden="false" customHeight="true" outlineLevel="0" collapsed="false">
      <c r="A89" s="76"/>
      <c r="B89" s="77" t="s">
        <v>99</v>
      </c>
      <c r="C89" s="77" t="s">
        <v>14</v>
      </c>
      <c r="D89" s="78" t="n">
        <v>433.55</v>
      </c>
      <c r="E89" s="56" t="n">
        <v>44.2</v>
      </c>
      <c r="F89" s="79"/>
      <c r="G89" s="80"/>
      <c r="H89" s="80"/>
      <c r="I89" s="59" t="n">
        <f aca="false">SUM(F89:H89)</f>
        <v>0</v>
      </c>
      <c r="J89" s="60" t="n">
        <f aca="false">E89-I89</f>
        <v>44.2</v>
      </c>
      <c r="K89" s="80"/>
      <c r="L89" s="81" t="n">
        <v>17</v>
      </c>
      <c r="M89" s="82"/>
      <c r="N89" s="82"/>
      <c r="O89" s="82"/>
      <c r="P89" s="82"/>
      <c r="Q89" s="82"/>
      <c r="R89" s="59" t="n">
        <f aca="false">SUM(K89:Q89)</f>
        <v>17</v>
      </c>
      <c r="S89" s="60" t="n">
        <f aca="false">J89-R89+89.4</f>
        <v>116.6</v>
      </c>
      <c r="T89" s="82"/>
      <c r="U89" s="82"/>
      <c r="V89" s="83"/>
      <c r="W89" s="79"/>
      <c r="X89" s="80"/>
      <c r="Y89" s="80"/>
      <c r="Z89" s="80"/>
      <c r="AA89" s="59" t="n">
        <f aca="false">SUM(T89:Z89)</f>
        <v>0</v>
      </c>
      <c r="AB89" s="60" t="n">
        <f aca="false">S89-AA89</f>
        <v>116.6</v>
      </c>
      <c r="AC89" s="80"/>
      <c r="AD89" s="80" t="n">
        <v>16.8</v>
      </c>
      <c r="AE89" s="80"/>
      <c r="AF89" s="80"/>
      <c r="AG89" s="80"/>
      <c r="AH89" s="80"/>
      <c r="AI89" s="83"/>
      <c r="AJ89" s="65" t="n">
        <f aca="false">SUM(AC89:AI89)</f>
        <v>16.8</v>
      </c>
      <c r="AK89" s="60" t="n">
        <f aca="false">AB89-AJ89</f>
        <v>99.8</v>
      </c>
      <c r="AL89" s="80"/>
      <c r="AM89" s="80"/>
      <c r="AN89" s="80"/>
      <c r="AO89" s="80"/>
      <c r="AP89" s="75"/>
      <c r="AQ89" s="75"/>
      <c r="AR89" s="75"/>
      <c r="AS89" s="60" t="n">
        <f aca="false">SUM(AL89:AR89)</f>
        <v>0</v>
      </c>
      <c r="AT89" s="60" t="n">
        <f aca="false">AK89-AS89</f>
        <v>99.8</v>
      </c>
    </row>
    <row r="90" customFormat="false" ht="13.5" hidden="false" customHeight="true" outlineLevel="0" collapsed="false">
      <c r="A90" s="76"/>
      <c r="B90" s="77" t="s">
        <v>100</v>
      </c>
      <c r="C90" s="77" t="s">
        <v>14</v>
      </c>
      <c r="D90" s="78" t="n">
        <v>334</v>
      </c>
      <c r="E90" s="56" t="n">
        <v>49.148</v>
      </c>
      <c r="F90" s="79"/>
      <c r="G90" s="80"/>
      <c r="H90" s="80"/>
      <c r="I90" s="59" t="n">
        <f aca="false">SUM(F90:H90)</f>
        <v>0</v>
      </c>
      <c r="J90" s="60" t="n">
        <f aca="false">E90-I90</f>
        <v>49.148</v>
      </c>
      <c r="K90" s="80"/>
      <c r="L90" s="81"/>
      <c r="M90" s="82"/>
      <c r="N90" s="82" t="n">
        <v>1.22</v>
      </c>
      <c r="O90" s="82"/>
      <c r="P90" s="82"/>
      <c r="Q90" s="82"/>
      <c r="R90" s="59" t="n">
        <f aca="false">SUM(K90:Q90)</f>
        <v>1.22</v>
      </c>
      <c r="S90" s="60" t="n">
        <f aca="false">J90-R90</f>
        <v>47.928</v>
      </c>
      <c r="T90" s="82" t="n">
        <v>4.146</v>
      </c>
      <c r="U90" s="82"/>
      <c r="V90" s="83"/>
      <c r="W90" s="79"/>
      <c r="X90" s="80"/>
      <c r="Y90" s="80"/>
      <c r="Z90" s="80" t="n">
        <v>1.6</v>
      </c>
      <c r="AA90" s="59" t="n">
        <f aca="false">SUM(T90:Z90)</f>
        <v>5.746</v>
      </c>
      <c r="AB90" s="60" t="n">
        <f aca="false">S90-AA90</f>
        <v>42.182</v>
      </c>
      <c r="AC90" s="80"/>
      <c r="AD90" s="80"/>
      <c r="AE90" s="80" t="n">
        <v>0.868</v>
      </c>
      <c r="AF90" s="80"/>
      <c r="AG90" s="80"/>
      <c r="AH90" s="80"/>
      <c r="AI90" s="83"/>
      <c r="AJ90" s="65" t="n">
        <f aca="false">SUM(AC90:AI90)</f>
        <v>0.868</v>
      </c>
      <c r="AK90" s="60" t="n">
        <f aca="false">AB90-AJ90</f>
        <v>41.314</v>
      </c>
      <c r="AL90" s="80"/>
      <c r="AM90" s="80"/>
      <c r="AN90" s="80"/>
      <c r="AO90" s="80"/>
      <c r="AP90" s="75"/>
      <c r="AQ90" s="75"/>
      <c r="AR90" s="75"/>
      <c r="AS90" s="60" t="n">
        <f aca="false">SUM(AL90:AR90)</f>
        <v>0</v>
      </c>
      <c r="AT90" s="60" t="n">
        <f aca="false">AK90-AS90</f>
        <v>41.314</v>
      </c>
    </row>
    <row r="91" customFormat="false" ht="13.5" hidden="false" customHeight="true" outlineLevel="0" collapsed="false">
      <c r="A91" s="76"/>
      <c r="B91" s="77" t="s">
        <v>101</v>
      </c>
      <c r="C91" s="77" t="s">
        <v>14</v>
      </c>
      <c r="D91" s="78" t="n">
        <v>475.876045627376</v>
      </c>
      <c r="E91" s="56" t="n">
        <v>163.19</v>
      </c>
      <c r="F91" s="79"/>
      <c r="G91" s="80"/>
      <c r="H91" s="80"/>
      <c r="I91" s="59" t="n">
        <f aca="false">SUM(F91:H91)</f>
        <v>0</v>
      </c>
      <c r="J91" s="60" t="n">
        <f aca="false">E91-I91</f>
        <v>163.19</v>
      </c>
      <c r="K91" s="80"/>
      <c r="L91" s="81" t="n">
        <v>6.3</v>
      </c>
      <c r="M91" s="82"/>
      <c r="N91" s="82"/>
      <c r="O91" s="82"/>
      <c r="P91" s="82"/>
      <c r="Q91" s="82"/>
      <c r="R91" s="59" t="n">
        <f aca="false">SUM(K91:Q91)</f>
        <v>6.3</v>
      </c>
      <c r="S91" s="60" t="n">
        <f aca="false">J91-R91</f>
        <v>156.89</v>
      </c>
      <c r="T91" s="82"/>
      <c r="U91" s="82"/>
      <c r="V91" s="83"/>
      <c r="W91" s="79"/>
      <c r="X91" s="80"/>
      <c r="Y91" s="80"/>
      <c r="Z91" s="80"/>
      <c r="AA91" s="59" t="n">
        <f aca="false">SUM(T91:Z91)</f>
        <v>0</v>
      </c>
      <c r="AB91" s="60" t="n">
        <f aca="false">S91-AA91</f>
        <v>156.89</v>
      </c>
      <c r="AC91" s="80"/>
      <c r="AD91" s="80"/>
      <c r="AE91" s="80"/>
      <c r="AF91" s="80"/>
      <c r="AG91" s="80"/>
      <c r="AH91" s="80"/>
      <c r="AI91" s="83"/>
      <c r="AJ91" s="65" t="n">
        <f aca="false">SUM(AC91:AI91)</f>
        <v>0</v>
      </c>
      <c r="AK91" s="60" t="n">
        <f aca="false">AB91-AJ91</f>
        <v>156.89</v>
      </c>
      <c r="AL91" s="80"/>
      <c r="AM91" s="80"/>
      <c r="AN91" s="80"/>
      <c r="AO91" s="80"/>
      <c r="AP91" s="75"/>
      <c r="AQ91" s="75"/>
      <c r="AR91" s="75"/>
      <c r="AS91" s="60" t="n">
        <f aca="false">SUM(AL91:AR91)</f>
        <v>0</v>
      </c>
      <c r="AT91" s="60" t="n">
        <f aca="false">AK91-AS91</f>
        <v>156.89</v>
      </c>
    </row>
    <row r="92" customFormat="false" ht="13.5" hidden="false" customHeight="true" outlineLevel="0" collapsed="false">
      <c r="A92" s="76"/>
      <c r="B92" s="77" t="s">
        <v>102</v>
      </c>
      <c r="C92" s="77" t="s">
        <v>14</v>
      </c>
      <c r="D92" s="78" t="n">
        <v>385.199991113481</v>
      </c>
      <c r="E92" s="56" t="n">
        <v>225.92</v>
      </c>
      <c r="F92" s="79"/>
      <c r="G92" s="80"/>
      <c r="H92" s="80"/>
      <c r="I92" s="59" t="n">
        <f aca="false">SUM(F92:H92)</f>
        <v>0</v>
      </c>
      <c r="J92" s="60" t="n">
        <f aca="false">E92-I92</f>
        <v>225.92</v>
      </c>
      <c r="K92" s="80"/>
      <c r="L92" s="81"/>
      <c r="M92" s="82"/>
      <c r="N92" s="82"/>
      <c r="O92" s="82"/>
      <c r="P92" s="82"/>
      <c r="Q92" s="82"/>
      <c r="R92" s="59" t="n">
        <f aca="false">SUM(K92:Q92)</f>
        <v>0</v>
      </c>
      <c r="S92" s="60" t="n">
        <f aca="false">J92-R92</f>
        <v>225.92</v>
      </c>
      <c r="T92" s="82"/>
      <c r="U92" s="82"/>
      <c r="V92" s="83"/>
      <c r="W92" s="79"/>
      <c r="X92" s="80"/>
      <c r="Y92" s="80"/>
      <c r="Z92" s="80"/>
      <c r="AA92" s="59" t="n">
        <f aca="false">SUM(T92:Z92)</f>
        <v>0</v>
      </c>
      <c r="AB92" s="60" t="n">
        <f aca="false">S92-AA92</f>
        <v>225.92</v>
      </c>
      <c r="AC92" s="80"/>
      <c r="AD92" s="80"/>
      <c r="AE92" s="80"/>
      <c r="AF92" s="80"/>
      <c r="AG92" s="80"/>
      <c r="AH92" s="80"/>
      <c r="AI92" s="83"/>
      <c r="AJ92" s="65" t="n">
        <f aca="false">SUM(AC92:AI92)</f>
        <v>0</v>
      </c>
      <c r="AK92" s="60" t="n">
        <f aca="false">AB92-AJ92</f>
        <v>225.92</v>
      </c>
      <c r="AL92" s="80"/>
      <c r="AM92" s="80"/>
      <c r="AN92" s="80"/>
      <c r="AO92" s="80"/>
      <c r="AP92" s="75"/>
      <c r="AQ92" s="75"/>
      <c r="AR92" s="75"/>
      <c r="AS92" s="60" t="n">
        <f aca="false">SUM(AL92:AR92)</f>
        <v>0</v>
      </c>
      <c r="AT92" s="60" t="n">
        <f aca="false">AK92-AS92</f>
        <v>225.92</v>
      </c>
    </row>
    <row r="93" customFormat="false" ht="13.5" hidden="false" customHeight="true" outlineLevel="0" collapsed="false">
      <c r="A93" s="76"/>
      <c r="B93" s="77" t="s">
        <v>103</v>
      </c>
      <c r="C93" s="77" t="s">
        <v>14</v>
      </c>
      <c r="D93" s="78" t="n">
        <v>522</v>
      </c>
      <c r="E93" s="56" t="n">
        <v>50.658</v>
      </c>
      <c r="F93" s="79"/>
      <c r="G93" s="80"/>
      <c r="H93" s="80"/>
      <c r="I93" s="59" t="n">
        <f aca="false">SUM(F93:H93)</f>
        <v>0</v>
      </c>
      <c r="J93" s="60" t="n">
        <f aca="false">E93-I93</f>
        <v>50.658</v>
      </c>
      <c r="K93" s="80"/>
      <c r="L93" s="81"/>
      <c r="M93" s="82"/>
      <c r="N93" s="82"/>
      <c r="O93" s="82"/>
      <c r="P93" s="82"/>
      <c r="Q93" s="82"/>
      <c r="R93" s="59" t="n">
        <f aca="false">SUM(K93:Q93)</f>
        <v>0</v>
      </c>
      <c r="S93" s="60" t="n">
        <f aca="false">J93-R93</f>
        <v>50.658</v>
      </c>
      <c r="T93" s="82"/>
      <c r="U93" s="82"/>
      <c r="V93" s="83"/>
      <c r="W93" s="79"/>
      <c r="X93" s="80"/>
      <c r="Y93" s="80"/>
      <c r="Z93" s="80" t="n">
        <v>4</v>
      </c>
      <c r="AA93" s="59" t="n">
        <f aca="false">SUM(T93:Z93)</f>
        <v>4</v>
      </c>
      <c r="AB93" s="60" t="n">
        <f aca="false">S93-AA93</f>
        <v>46.658</v>
      </c>
      <c r="AC93" s="80"/>
      <c r="AD93" s="80"/>
      <c r="AE93" s="80"/>
      <c r="AF93" s="80"/>
      <c r="AG93" s="80"/>
      <c r="AH93" s="80"/>
      <c r="AI93" s="83"/>
      <c r="AJ93" s="65" t="n">
        <f aca="false">SUM(AC93:AI93)</f>
        <v>0</v>
      </c>
      <c r="AK93" s="60" t="n">
        <f aca="false">AB93-AJ93</f>
        <v>46.658</v>
      </c>
      <c r="AL93" s="80"/>
      <c r="AM93" s="80"/>
      <c r="AN93" s="80"/>
      <c r="AO93" s="80"/>
      <c r="AP93" s="75"/>
      <c r="AQ93" s="75"/>
      <c r="AR93" s="75"/>
      <c r="AS93" s="60" t="n">
        <f aca="false">SUM(AL93:AR93)</f>
        <v>0</v>
      </c>
      <c r="AT93" s="60" t="n">
        <f aca="false">AK93-AS93</f>
        <v>46.658</v>
      </c>
    </row>
    <row r="94" customFormat="false" ht="13.5" hidden="false" customHeight="true" outlineLevel="0" collapsed="false">
      <c r="A94" s="76"/>
      <c r="B94" s="77" t="s">
        <v>104</v>
      </c>
      <c r="C94" s="77" t="s">
        <v>14</v>
      </c>
      <c r="D94" s="78" t="n">
        <v>399.2766273623</v>
      </c>
      <c r="E94" s="56" t="n">
        <v>544.3</v>
      </c>
      <c r="F94" s="79" t="n">
        <v>30</v>
      </c>
      <c r="G94" s="80"/>
      <c r="H94" s="80"/>
      <c r="I94" s="59" t="n">
        <f aca="false">SUM(F94:H94)</f>
        <v>30</v>
      </c>
      <c r="J94" s="60" t="n">
        <f aca="false">E94-I94</f>
        <v>514.3</v>
      </c>
      <c r="K94" s="80"/>
      <c r="L94" s="81"/>
      <c r="M94" s="82"/>
      <c r="N94" s="82"/>
      <c r="O94" s="82" t="n">
        <v>15</v>
      </c>
      <c r="P94" s="82"/>
      <c r="Q94" s="82"/>
      <c r="R94" s="59" t="n">
        <f aca="false">SUM(K94:Q94)</f>
        <v>15</v>
      </c>
      <c r="S94" s="60" t="n">
        <f aca="false">J94-R94</f>
        <v>499.3</v>
      </c>
      <c r="T94" s="82"/>
      <c r="U94" s="82"/>
      <c r="V94" s="83" t="n">
        <v>15</v>
      </c>
      <c r="W94" s="79"/>
      <c r="X94" s="80"/>
      <c r="Y94" s="80"/>
      <c r="Z94" s="80" t="n">
        <v>15</v>
      </c>
      <c r="AA94" s="59" t="n">
        <f aca="false">SUM(T94:Z94)</f>
        <v>30</v>
      </c>
      <c r="AB94" s="60" t="n">
        <f aca="false">S94-AA94</f>
        <v>469.3</v>
      </c>
      <c r="AC94" s="80"/>
      <c r="AD94" s="80"/>
      <c r="AE94" s="80"/>
      <c r="AF94" s="80"/>
      <c r="AG94" s="80"/>
      <c r="AH94" s="80"/>
      <c r="AI94" s="83"/>
      <c r="AJ94" s="65" t="n">
        <f aca="false">SUM(AC94:AI94)</f>
        <v>0</v>
      </c>
      <c r="AK94" s="60" t="n">
        <f aca="false">AB94-AJ94</f>
        <v>469.3</v>
      </c>
      <c r="AL94" s="80"/>
      <c r="AM94" s="80"/>
      <c r="AN94" s="80"/>
      <c r="AO94" s="80"/>
      <c r="AP94" s="75"/>
      <c r="AQ94" s="75"/>
      <c r="AR94" s="75"/>
      <c r="AS94" s="60" t="n">
        <f aca="false">SUM(AL94:AR94)</f>
        <v>0</v>
      </c>
      <c r="AT94" s="60" t="n">
        <f aca="false">AK94-AS94</f>
        <v>469.3</v>
      </c>
    </row>
    <row r="95" customFormat="false" ht="13.5" hidden="false" customHeight="true" outlineLevel="0" collapsed="false">
      <c r="A95" s="76"/>
      <c r="B95" s="77" t="s">
        <v>105</v>
      </c>
      <c r="C95" s="77" t="s">
        <v>14</v>
      </c>
      <c r="D95" s="78" t="n">
        <v>406.599060381936</v>
      </c>
      <c r="E95" s="56" t="n">
        <v>361.779</v>
      </c>
      <c r="F95" s="79" t="n">
        <v>33.44</v>
      </c>
      <c r="G95" s="80" t="n">
        <v>10</v>
      </c>
      <c r="H95" s="80"/>
      <c r="I95" s="59" t="n">
        <f aca="false">SUM(F95:H95)</f>
        <v>43.44</v>
      </c>
      <c r="J95" s="60" t="n">
        <f aca="false">E95-I95</f>
        <v>318.339</v>
      </c>
      <c r="K95" s="80" t="n">
        <v>9.526</v>
      </c>
      <c r="L95" s="81" t="n">
        <v>10</v>
      </c>
      <c r="M95" s="82" t="n">
        <v>20</v>
      </c>
      <c r="N95" s="82" t="n">
        <v>12.12</v>
      </c>
      <c r="O95" s="82" t="n">
        <v>20</v>
      </c>
      <c r="P95" s="82" t="n">
        <v>30.852</v>
      </c>
      <c r="Q95" s="82"/>
      <c r="R95" s="59" t="n">
        <f aca="false">SUM(K95:Q95)</f>
        <v>102.498</v>
      </c>
      <c r="S95" s="60" t="n">
        <f aca="false">J95-R95</f>
        <v>215.841</v>
      </c>
      <c r="T95" s="82" t="n">
        <v>10.114</v>
      </c>
      <c r="U95" s="82"/>
      <c r="V95" s="83" t="n">
        <v>20.456</v>
      </c>
      <c r="W95" s="79"/>
      <c r="X95" s="80" t="n">
        <v>9.54</v>
      </c>
      <c r="Y95" s="80"/>
      <c r="Z95" s="80"/>
      <c r="AA95" s="59" t="n">
        <f aca="false">SUM(T95:Z95)</f>
        <v>40.11</v>
      </c>
      <c r="AB95" s="60" t="n">
        <f aca="false">S95-AA95</f>
        <v>175.731</v>
      </c>
      <c r="AC95" s="80" t="n">
        <v>20.8</v>
      </c>
      <c r="AD95" s="80" t="n">
        <v>10</v>
      </c>
      <c r="AE95" s="80" t="n">
        <v>23.6</v>
      </c>
      <c r="AF95" s="80"/>
      <c r="AG95" s="80"/>
      <c r="AH95" s="80"/>
      <c r="AI95" s="83"/>
      <c r="AJ95" s="65" t="n">
        <f aca="false">SUM(AC95:AI95)</f>
        <v>54.4</v>
      </c>
      <c r="AK95" s="60" t="n">
        <f aca="false">AB95-AJ95</f>
        <v>121.331</v>
      </c>
      <c r="AL95" s="80"/>
      <c r="AM95" s="80"/>
      <c r="AN95" s="80"/>
      <c r="AO95" s="80"/>
      <c r="AP95" s="75"/>
      <c r="AQ95" s="75"/>
      <c r="AR95" s="75"/>
      <c r="AS95" s="60" t="n">
        <f aca="false">SUM(AL95:AR95)</f>
        <v>0</v>
      </c>
      <c r="AT95" s="60" t="n">
        <f aca="false">AK95-AS95</f>
        <v>121.331</v>
      </c>
    </row>
    <row r="96" customFormat="false" ht="13.5" hidden="false" customHeight="true" outlineLevel="0" collapsed="false">
      <c r="A96" s="76"/>
      <c r="B96" s="77" t="s">
        <v>106</v>
      </c>
      <c r="C96" s="77" t="s">
        <v>23</v>
      </c>
      <c r="D96" s="78" t="n">
        <v>1080</v>
      </c>
      <c r="E96" s="56" t="n">
        <v>16.84</v>
      </c>
      <c r="F96" s="79"/>
      <c r="G96" s="80"/>
      <c r="H96" s="80"/>
      <c r="I96" s="59" t="n">
        <f aca="false">SUM(F96:H96)</f>
        <v>0</v>
      </c>
      <c r="J96" s="60" t="n">
        <f aca="false">E96-I96</f>
        <v>16.84</v>
      </c>
      <c r="K96" s="80"/>
      <c r="L96" s="81"/>
      <c r="M96" s="82"/>
      <c r="N96" s="82"/>
      <c r="O96" s="82"/>
      <c r="P96" s="82"/>
      <c r="Q96" s="82"/>
      <c r="R96" s="59" t="n">
        <f aca="false">SUM(K96:Q96)</f>
        <v>0</v>
      </c>
      <c r="S96" s="60" t="n">
        <f aca="false">J96-R96+24.26+22.14</f>
        <v>63.24</v>
      </c>
      <c r="T96" s="82"/>
      <c r="U96" s="82"/>
      <c r="V96" s="83"/>
      <c r="W96" s="79"/>
      <c r="X96" s="80"/>
      <c r="Y96" s="80"/>
      <c r="Z96" s="80"/>
      <c r="AA96" s="59" t="n">
        <f aca="false">SUM(T96:Z96)</f>
        <v>0</v>
      </c>
      <c r="AB96" s="60" t="n">
        <f aca="false">S96-AA96</f>
        <v>63.24</v>
      </c>
      <c r="AC96" s="80"/>
      <c r="AD96" s="80" t="n">
        <v>17.2</v>
      </c>
      <c r="AE96" s="80"/>
      <c r="AF96" s="80"/>
      <c r="AG96" s="80"/>
      <c r="AH96" s="80"/>
      <c r="AI96" s="83"/>
      <c r="AJ96" s="65" t="n">
        <f aca="false">SUM(AC96:AI96)</f>
        <v>17.2</v>
      </c>
      <c r="AK96" s="60" t="n">
        <f aca="false">AB96-AJ96</f>
        <v>46.04</v>
      </c>
      <c r="AL96" s="80"/>
      <c r="AM96" s="80"/>
      <c r="AN96" s="80"/>
      <c r="AO96" s="80"/>
      <c r="AP96" s="75"/>
      <c r="AQ96" s="75"/>
      <c r="AR96" s="75"/>
      <c r="AS96" s="60" t="n">
        <f aca="false">SUM(AL96:AR96)</f>
        <v>0</v>
      </c>
      <c r="AT96" s="60" t="n">
        <f aca="false">AK96-AS96</f>
        <v>46.04</v>
      </c>
    </row>
    <row r="97" customFormat="false" ht="13.5" hidden="false" customHeight="true" outlineLevel="0" collapsed="false">
      <c r="A97" s="76"/>
      <c r="B97" s="77" t="s">
        <v>107</v>
      </c>
      <c r="C97" s="77" t="s">
        <v>14</v>
      </c>
      <c r="D97" s="78" t="n">
        <v>123.200050838841</v>
      </c>
      <c r="E97" s="56" t="n">
        <v>8</v>
      </c>
      <c r="F97" s="79"/>
      <c r="G97" s="80"/>
      <c r="H97" s="80"/>
      <c r="I97" s="59" t="n">
        <f aca="false">SUM(F97:H97)</f>
        <v>0</v>
      </c>
      <c r="J97" s="60" t="n">
        <f aca="false">E97-I97</f>
        <v>8</v>
      </c>
      <c r="K97" s="80"/>
      <c r="L97" s="81"/>
      <c r="M97" s="82"/>
      <c r="N97" s="82"/>
      <c r="O97" s="82"/>
      <c r="P97" s="82"/>
      <c r="Q97" s="82"/>
      <c r="R97" s="59" t="n">
        <f aca="false">SUM(K97:Q97)</f>
        <v>0</v>
      </c>
      <c r="S97" s="60" t="n">
        <f aca="false">J97-R97</f>
        <v>8</v>
      </c>
      <c r="T97" s="82"/>
      <c r="U97" s="82" t="n">
        <v>4</v>
      </c>
      <c r="V97" s="83"/>
      <c r="W97" s="79"/>
      <c r="X97" s="80"/>
      <c r="Y97" s="80"/>
      <c r="Z97" s="80"/>
      <c r="AA97" s="59" t="n">
        <f aca="false">SUM(T97:Z97)</f>
        <v>4</v>
      </c>
      <c r="AB97" s="60" t="n">
        <f aca="false">S97-AA97</f>
        <v>4</v>
      </c>
      <c r="AC97" s="80"/>
      <c r="AD97" s="80"/>
      <c r="AE97" s="80"/>
      <c r="AF97" s="80"/>
      <c r="AG97" s="80"/>
      <c r="AH97" s="80"/>
      <c r="AI97" s="83"/>
      <c r="AJ97" s="65" t="n">
        <f aca="false">SUM(AC97:AI97)</f>
        <v>0</v>
      </c>
      <c r="AK97" s="60" t="n">
        <f aca="false">AB97-AJ97</f>
        <v>4</v>
      </c>
      <c r="AL97" s="80"/>
      <c r="AM97" s="80"/>
      <c r="AN97" s="80"/>
      <c r="AO97" s="80"/>
      <c r="AP97" s="75"/>
      <c r="AQ97" s="75"/>
      <c r="AR97" s="75"/>
      <c r="AS97" s="60" t="n">
        <f aca="false">SUM(AL97:AR97)</f>
        <v>0</v>
      </c>
      <c r="AT97" s="60" t="n">
        <f aca="false">AK97-AS97</f>
        <v>4</v>
      </c>
    </row>
    <row r="98" customFormat="false" ht="13.5" hidden="false" customHeight="true" outlineLevel="0" collapsed="false">
      <c r="A98" s="76"/>
      <c r="B98" s="77" t="s">
        <v>108</v>
      </c>
      <c r="C98" s="77" t="s">
        <v>14</v>
      </c>
      <c r="D98" s="78" t="n">
        <v>105.6</v>
      </c>
      <c r="E98" s="56" t="n">
        <v>30</v>
      </c>
      <c r="F98" s="79"/>
      <c r="G98" s="80"/>
      <c r="H98" s="80"/>
      <c r="I98" s="59" t="n">
        <f aca="false">SUM(F98:H98)</f>
        <v>0</v>
      </c>
      <c r="J98" s="60" t="n">
        <f aca="false">E98-I98</f>
        <v>30</v>
      </c>
      <c r="K98" s="80"/>
      <c r="L98" s="81"/>
      <c r="M98" s="82"/>
      <c r="N98" s="82"/>
      <c r="O98" s="82"/>
      <c r="P98" s="82"/>
      <c r="Q98" s="82" t="n">
        <v>10</v>
      </c>
      <c r="R98" s="59" t="n">
        <f aca="false">SUM(K98:Q98)</f>
        <v>10</v>
      </c>
      <c r="S98" s="60" t="n">
        <f aca="false">J98-R98</f>
        <v>20</v>
      </c>
      <c r="T98" s="82" t="n">
        <v>10</v>
      </c>
      <c r="U98" s="82"/>
      <c r="V98" s="83"/>
      <c r="W98" s="79"/>
      <c r="X98" s="80"/>
      <c r="Y98" s="80"/>
      <c r="Z98" s="80"/>
      <c r="AA98" s="59" t="n">
        <f aca="false">SUM(T98:Z98)</f>
        <v>10</v>
      </c>
      <c r="AB98" s="60" t="n">
        <f aca="false">S98-AA98</f>
        <v>10</v>
      </c>
      <c r="AC98" s="80"/>
      <c r="AD98" s="80"/>
      <c r="AE98" s="80"/>
      <c r="AF98" s="80"/>
      <c r="AG98" s="80"/>
      <c r="AH98" s="80"/>
      <c r="AI98" s="83"/>
      <c r="AJ98" s="65" t="n">
        <f aca="false">SUM(AC98:AI98)</f>
        <v>0</v>
      </c>
      <c r="AK98" s="60" t="n">
        <f aca="false">AB98-AJ98</f>
        <v>10</v>
      </c>
      <c r="AL98" s="80"/>
      <c r="AM98" s="80"/>
      <c r="AN98" s="80"/>
      <c r="AO98" s="80"/>
      <c r="AP98" s="75"/>
      <c r="AQ98" s="75"/>
      <c r="AR98" s="75"/>
      <c r="AS98" s="60" t="n">
        <f aca="false">SUM(AL98:AR98)</f>
        <v>0</v>
      </c>
      <c r="AT98" s="60" t="n">
        <f aca="false">AK98-AS98</f>
        <v>10</v>
      </c>
    </row>
    <row r="99" customFormat="false" ht="13.5" hidden="false" customHeight="true" outlineLevel="0" collapsed="false">
      <c r="A99" s="76"/>
      <c r="B99" s="77" t="s">
        <v>109</v>
      </c>
      <c r="C99" s="77" t="s">
        <v>14</v>
      </c>
      <c r="D99" s="78" t="n">
        <f aca="false">27.5+211</f>
        <v>238.5</v>
      </c>
      <c r="E99" s="56" t="n">
        <v>216.8</v>
      </c>
      <c r="F99" s="79" t="n">
        <v>33</v>
      </c>
      <c r="G99" s="80"/>
      <c r="H99" s="80"/>
      <c r="I99" s="59" t="n">
        <f aca="false">SUM(F99:H99)</f>
        <v>33</v>
      </c>
      <c r="J99" s="60" t="n">
        <f aca="false">E99-I99</f>
        <v>183.8</v>
      </c>
      <c r="K99" s="80"/>
      <c r="L99" s="81"/>
      <c r="M99" s="82" t="n">
        <v>35</v>
      </c>
      <c r="N99" s="82"/>
      <c r="O99" s="82"/>
      <c r="P99" s="82" t="n">
        <v>24</v>
      </c>
      <c r="Q99" s="82"/>
      <c r="R99" s="59" t="n">
        <f aca="false">SUM(K99:Q99)</f>
        <v>59</v>
      </c>
      <c r="S99" s="60" t="n">
        <f aca="false">J99-R99+224</f>
        <v>348.8</v>
      </c>
      <c r="T99" s="82" t="n">
        <v>25.6</v>
      </c>
      <c r="U99" s="82"/>
      <c r="V99" s="83"/>
      <c r="W99" s="79" t="n">
        <v>32</v>
      </c>
      <c r="X99" s="80"/>
      <c r="Y99" s="80"/>
      <c r="Z99" s="80"/>
      <c r="AA99" s="59" t="n">
        <f aca="false">SUM(T99:Z99)</f>
        <v>57.6</v>
      </c>
      <c r="AB99" s="60" t="n">
        <f aca="false">S99-AA99</f>
        <v>291.2</v>
      </c>
      <c r="AC99" s="80" t="n">
        <v>31</v>
      </c>
      <c r="AD99" s="80"/>
      <c r="AE99" s="80" t="n">
        <v>27</v>
      </c>
      <c r="AF99" s="80"/>
      <c r="AG99" s="80"/>
      <c r="AH99" s="80"/>
      <c r="AI99" s="83"/>
      <c r="AJ99" s="65" t="n">
        <f aca="false">SUM(AC99:AI99)</f>
        <v>58</v>
      </c>
      <c r="AK99" s="60" t="n">
        <f aca="false">AB99-AJ99</f>
        <v>233.2</v>
      </c>
      <c r="AL99" s="80"/>
      <c r="AM99" s="80"/>
      <c r="AN99" s="80"/>
      <c r="AO99" s="80"/>
      <c r="AP99" s="75"/>
      <c r="AQ99" s="75"/>
      <c r="AR99" s="75"/>
      <c r="AS99" s="60" t="n">
        <f aca="false">SUM(AL99:AR99)</f>
        <v>0</v>
      </c>
      <c r="AT99" s="60" t="n">
        <f aca="false">AK99-AS99</f>
        <v>233.2</v>
      </c>
    </row>
    <row r="100" customFormat="false" ht="13.5" hidden="false" customHeight="true" outlineLevel="0" collapsed="false">
      <c r="A100" s="76"/>
      <c r="B100" s="77" t="s">
        <v>110</v>
      </c>
      <c r="C100" s="77" t="s">
        <v>14</v>
      </c>
      <c r="D100" s="78" t="n">
        <v>165</v>
      </c>
      <c r="E100" s="56" t="n">
        <v>70.2</v>
      </c>
      <c r="F100" s="79"/>
      <c r="G100" s="80"/>
      <c r="H100" s="80"/>
      <c r="I100" s="59" t="n">
        <f aca="false">SUM(F100:H100)</f>
        <v>0</v>
      </c>
      <c r="J100" s="60" t="n">
        <f aca="false">E100-I100</f>
        <v>70.2</v>
      </c>
      <c r="K100" s="80"/>
      <c r="L100" s="81" t="n">
        <v>3.2</v>
      </c>
      <c r="M100" s="82"/>
      <c r="N100" s="82"/>
      <c r="O100" s="82"/>
      <c r="P100" s="82"/>
      <c r="Q100" s="82"/>
      <c r="R100" s="59" t="n">
        <f aca="false">SUM(K100:Q100)</f>
        <v>3.2</v>
      </c>
      <c r="S100" s="60" t="n">
        <f aca="false">J100-R100</f>
        <v>67</v>
      </c>
      <c r="T100" s="82"/>
      <c r="U100" s="82"/>
      <c r="V100" s="83"/>
      <c r="W100" s="79"/>
      <c r="X100" s="80"/>
      <c r="Y100" s="80" t="n">
        <v>3</v>
      </c>
      <c r="Z100" s="80"/>
      <c r="AA100" s="59" t="n">
        <f aca="false">SUM(T100:Z100)</f>
        <v>3</v>
      </c>
      <c r="AB100" s="60" t="n">
        <f aca="false">S100-AA100</f>
        <v>64</v>
      </c>
      <c r="AC100" s="80"/>
      <c r="AD100" s="80"/>
      <c r="AE100" s="80" t="n">
        <v>2</v>
      </c>
      <c r="AF100" s="80"/>
      <c r="AG100" s="80"/>
      <c r="AH100" s="80"/>
      <c r="AI100" s="83"/>
      <c r="AJ100" s="65" t="n">
        <f aca="false">SUM(AC100:AI100)</f>
        <v>2</v>
      </c>
      <c r="AK100" s="60" t="n">
        <f aca="false">AB100-AJ100</f>
        <v>62</v>
      </c>
      <c r="AL100" s="80"/>
      <c r="AM100" s="80"/>
      <c r="AN100" s="80"/>
      <c r="AO100" s="80"/>
      <c r="AP100" s="75"/>
      <c r="AQ100" s="75"/>
      <c r="AR100" s="75"/>
      <c r="AS100" s="60" t="n">
        <f aca="false">SUM(AL100:AR100)</f>
        <v>0</v>
      </c>
      <c r="AT100" s="60" t="n">
        <f aca="false">AK100-AS100</f>
        <v>62</v>
      </c>
    </row>
    <row r="101" customFormat="false" ht="13.5" hidden="false" customHeight="true" outlineLevel="0" collapsed="false">
      <c r="A101" s="76"/>
      <c r="B101" s="77" t="s">
        <v>111</v>
      </c>
      <c r="C101" s="77" t="s">
        <v>14</v>
      </c>
      <c r="D101" s="78" t="n">
        <v>445.15</v>
      </c>
      <c r="E101" s="56"/>
      <c r="F101" s="79"/>
      <c r="G101" s="80"/>
      <c r="H101" s="80"/>
      <c r="I101" s="59"/>
      <c r="J101" s="60"/>
      <c r="K101" s="80"/>
      <c r="L101" s="81"/>
      <c r="M101" s="82"/>
      <c r="N101" s="82"/>
      <c r="O101" s="82"/>
      <c r="P101" s="82"/>
      <c r="Q101" s="82"/>
      <c r="R101" s="59" t="n">
        <f aca="false">SUM(K101:Q101)</f>
        <v>0</v>
      </c>
      <c r="S101" s="60" t="n">
        <v>20</v>
      </c>
      <c r="T101" s="82"/>
      <c r="U101" s="82"/>
      <c r="V101" s="83"/>
      <c r="W101" s="79"/>
      <c r="X101" s="80"/>
      <c r="Y101" s="80" t="n">
        <v>2.5</v>
      </c>
      <c r="Z101" s="80"/>
      <c r="AA101" s="59" t="n">
        <f aca="false">SUM(T101:Z101)</f>
        <v>2.5</v>
      </c>
      <c r="AB101" s="60" t="n">
        <f aca="false">S101-AA101</f>
        <v>17.5</v>
      </c>
      <c r="AC101" s="80"/>
      <c r="AD101" s="80"/>
      <c r="AE101" s="80" t="n">
        <v>2.5</v>
      </c>
      <c r="AF101" s="80"/>
      <c r="AG101" s="80"/>
      <c r="AH101" s="80"/>
      <c r="AI101" s="83"/>
      <c r="AJ101" s="65" t="n">
        <f aca="false">SUM(AC101:AI101)</f>
        <v>2.5</v>
      </c>
      <c r="AK101" s="60" t="n">
        <f aca="false">AB101-AJ101</f>
        <v>15</v>
      </c>
      <c r="AL101" s="80"/>
      <c r="AM101" s="80"/>
      <c r="AN101" s="80"/>
      <c r="AO101" s="80"/>
      <c r="AP101" s="75"/>
      <c r="AQ101" s="75"/>
      <c r="AR101" s="75"/>
      <c r="AS101" s="60" t="n">
        <f aca="false">SUM(AL101:AR101)</f>
        <v>0</v>
      </c>
      <c r="AT101" s="60" t="n">
        <f aca="false">AK101-AS101</f>
        <v>15</v>
      </c>
    </row>
    <row r="102" customFormat="false" ht="13.5" hidden="false" customHeight="true" outlineLevel="0" collapsed="false">
      <c r="A102" s="76"/>
      <c r="B102" s="77" t="s">
        <v>112</v>
      </c>
      <c r="C102" s="77" t="s">
        <v>23</v>
      </c>
      <c r="D102" s="78"/>
      <c r="E102" s="56" t="n">
        <v>17.4</v>
      </c>
      <c r="F102" s="79" t="n">
        <v>4.2</v>
      </c>
      <c r="G102" s="80"/>
      <c r="H102" s="80"/>
      <c r="I102" s="59" t="n">
        <f aca="false">SUM(F102:H102)</f>
        <v>4.2</v>
      </c>
      <c r="J102" s="60" t="n">
        <f aca="false">E102-I102</f>
        <v>13.2</v>
      </c>
      <c r="K102" s="80"/>
      <c r="L102" s="81"/>
      <c r="M102" s="82"/>
      <c r="N102" s="82"/>
      <c r="O102" s="82" t="n">
        <v>6.4</v>
      </c>
      <c r="P102" s="82"/>
      <c r="Q102" s="82"/>
      <c r="R102" s="59" t="n">
        <f aca="false">SUM(K102:Q102)</f>
        <v>6.4</v>
      </c>
      <c r="S102" s="60" t="n">
        <f aca="false">J102-R102</f>
        <v>6.8</v>
      </c>
      <c r="T102" s="82"/>
      <c r="U102" s="82"/>
      <c r="V102" s="83"/>
      <c r="W102" s="79"/>
      <c r="X102" s="80"/>
      <c r="Y102" s="80"/>
      <c r="Z102" s="80"/>
      <c r="AA102" s="59" t="n">
        <f aca="false">SUM(T102:Z102)</f>
        <v>0</v>
      </c>
      <c r="AB102" s="60" t="n">
        <f aca="false">S102-AA102</f>
        <v>6.8</v>
      </c>
      <c r="AC102" s="80"/>
      <c r="AD102" s="80"/>
      <c r="AE102" s="80"/>
      <c r="AF102" s="80"/>
      <c r="AG102" s="80"/>
      <c r="AH102" s="80"/>
      <c r="AI102" s="83"/>
      <c r="AJ102" s="65" t="n">
        <f aca="false">SUM(AC102:AI102)</f>
        <v>0</v>
      </c>
      <c r="AK102" s="60" t="n">
        <f aca="false">AB102-AJ102</f>
        <v>6.8</v>
      </c>
      <c r="AL102" s="80"/>
      <c r="AM102" s="80"/>
      <c r="AN102" s="80"/>
      <c r="AO102" s="80"/>
      <c r="AP102" s="75"/>
      <c r="AQ102" s="75"/>
      <c r="AR102" s="75"/>
      <c r="AS102" s="60" t="n">
        <f aca="false">SUM(AL102:AR102)</f>
        <v>0</v>
      </c>
      <c r="AT102" s="60" t="n">
        <f aca="false">AK102-AS102</f>
        <v>6.8</v>
      </c>
    </row>
    <row r="103" customFormat="false" ht="13.5" hidden="false" customHeight="true" outlineLevel="0" collapsed="false">
      <c r="A103" s="76"/>
      <c r="B103" s="77" t="s">
        <v>113</v>
      </c>
      <c r="C103" s="77" t="s">
        <v>14</v>
      </c>
      <c r="D103" s="78" t="n">
        <v>183.7</v>
      </c>
      <c r="E103" s="56" t="n">
        <v>50</v>
      </c>
      <c r="F103" s="79" t="n">
        <v>10</v>
      </c>
      <c r="G103" s="80"/>
      <c r="H103" s="80"/>
      <c r="I103" s="59" t="n">
        <f aca="false">SUM(F103:H103)</f>
        <v>10</v>
      </c>
      <c r="J103" s="60" t="n">
        <f aca="false">E103-I103</f>
        <v>40</v>
      </c>
      <c r="K103" s="80"/>
      <c r="L103" s="81"/>
      <c r="M103" s="82"/>
      <c r="N103" s="82"/>
      <c r="O103" s="82"/>
      <c r="P103" s="82"/>
      <c r="Q103" s="82"/>
      <c r="R103" s="59" t="n">
        <f aca="false">SUM(K103:Q103)</f>
        <v>0</v>
      </c>
      <c r="S103" s="60" t="n">
        <f aca="false">J103-R103</f>
        <v>40</v>
      </c>
      <c r="T103" s="82"/>
      <c r="U103" s="82"/>
      <c r="V103" s="83"/>
      <c r="W103" s="79"/>
      <c r="X103" s="80"/>
      <c r="Y103" s="80" t="n">
        <v>3</v>
      </c>
      <c r="Z103" s="80"/>
      <c r="AA103" s="59" t="n">
        <f aca="false">SUM(T103:Z103)</f>
        <v>3</v>
      </c>
      <c r="AB103" s="60" t="n">
        <f aca="false">S103-AA103</f>
        <v>37</v>
      </c>
      <c r="AC103" s="80"/>
      <c r="AD103" s="80"/>
      <c r="AE103" s="80" t="n">
        <v>7.2</v>
      </c>
      <c r="AF103" s="80"/>
      <c r="AG103" s="80"/>
      <c r="AH103" s="80"/>
      <c r="AI103" s="83"/>
      <c r="AJ103" s="65" t="n">
        <f aca="false">SUM(AC103:AI103)</f>
        <v>7.2</v>
      </c>
      <c r="AK103" s="60" t="n">
        <f aca="false">AB103-AJ103</f>
        <v>29.8</v>
      </c>
      <c r="AL103" s="80"/>
      <c r="AM103" s="80"/>
      <c r="AN103" s="80"/>
      <c r="AO103" s="80"/>
      <c r="AP103" s="75"/>
      <c r="AQ103" s="75"/>
      <c r="AR103" s="75"/>
      <c r="AS103" s="60" t="n">
        <f aca="false">SUM(AL103:AR103)</f>
        <v>0</v>
      </c>
      <c r="AT103" s="60" t="n">
        <f aca="false">AK103-AS103</f>
        <v>29.8</v>
      </c>
    </row>
    <row r="104" customFormat="false" ht="13.5" hidden="false" customHeight="true" outlineLevel="0" collapsed="false">
      <c r="A104" s="76"/>
      <c r="B104" s="77" t="s">
        <v>114</v>
      </c>
      <c r="C104" s="77" t="s">
        <v>14</v>
      </c>
      <c r="D104" s="78" t="n">
        <v>26.4</v>
      </c>
      <c r="E104" s="56" t="n">
        <v>811.08</v>
      </c>
      <c r="F104" s="79" t="n">
        <v>42</v>
      </c>
      <c r="G104" s="80"/>
      <c r="H104" s="80" t="n">
        <v>46</v>
      </c>
      <c r="I104" s="59" t="n">
        <f aca="false">SUM(F104:H104)</f>
        <v>88</v>
      </c>
      <c r="J104" s="60" t="n">
        <f aca="false">E104-I104</f>
        <v>723.08</v>
      </c>
      <c r="K104" s="80" t="n">
        <v>44</v>
      </c>
      <c r="L104" s="81"/>
      <c r="M104" s="82" t="n">
        <v>40</v>
      </c>
      <c r="N104" s="82" t="n">
        <v>45</v>
      </c>
      <c r="O104" s="82" t="n">
        <v>63.2</v>
      </c>
      <c r="P104" s="82" t="n">
        <v>52</v>
      </c>
      <c r="Q104" s="82"/>
      <c r="R104" s="59" t="n">
        <f aca="false">SUM(K104:Q104)</f>
        <v>244.2</v>
      </c>
      <c r="S104" s="60" t="n">
        <f aca="false">J104-R104+522</f>
        <v>1000.88</v>
      </c>
      <c r="T104" s="82" t="n">
        <v>82.2</v>
      </c>
      <c r="U104" s="82"/>
      <c r="V104" s="83" t="n">
        <v>50.5</v>
      </c>
      <c r="W104" s="79" t="n">
        <v>51</v>
      </c>
      <c r="X104" s="80" t="n">
        <v>53</v>
      </c>
      <c r="Y104" s="80" t="n">
        <v>50</v>
      </c>
      <c r="Z104" s="80" t="n">
        <v>52</v>
      </c>
      <c r="AA104" s="59" t="n">
        <f aca="false">SUM(T104:Z104)</f>
        <v>338.7</v>
      </c>
      <c r="AB104" s="60" t="n">
        <f aca="false">S104-AA104</f>
        <v>662.18</v>
      </c>
      <c r="AC104" s="80" t="n">
        <v>42</v>
      </c>
      <c r="AD104" s="80" t="n">
        <v>53</v>
      </c>
      <c r="AE104" s="80"/>
      <c r="AF104" s="80"/>
      <c r="AG104" s="80"/>
      <c r="AH104" s="80"/>
      <c r="AI104" s="83"/>
      <c r="AJ104" s="65" t="n">
        <f aca="false">SUM(AC104:AI104)</f>
        <v>95</v>
      </c>
      <c r="AK104" s="60" t="n">
        <f aca="false">AB104-AJ104</f>
        <v>567.18</v>
      </c>
      <c r="AL104" s="80"/>
      <c r="AM104" s="80"/>
      <c r="AN104" s="80"/>
      <c r="AO104" s="80"/>
      <c r="AP104" s="75"/>
      <c r="AQ104" s="75"/>
      <c r="AR104" s="75"/>
      <c r="AS104" s="60" t="n">
        <f aca="false">SUM(AL104:AR104)</f>
        <v>0</v>
      </c>
      <c r="AT104" s="60" t="n">
        <f aca="false">AK104-AS104</f>
        <v>567.18</v>
      </c>
    </row>
    <row r="105" customFormat="false" ht="13.5" hidden="false" customHeight="true" outlineLevel="0" collapsed="false">
      <c r="A105" s="76"/>
      <c r="B105" s="77" t="s">
        <v>115</v>
      </c>
      <c r="C105" s="77" t="s">
        <v>14</v>
      </c>
      <c r="D105" s="78" t="n">
        <v>29.6999827198894</v>
      </c>
      <c r="E105" s="56" t="n">
        <v>369.35</v>
      </c>
      <c r="F105" s="79" t="n">
        <v>30.1</v>
      </c>
      <c r="G105" s="80"/>
      <c r="H105" s="80" t="n">
        <v>35</v>
      </c>
      <c r="I105" s="59" t="n">
        <f aca="false">SUM(F105:H105)</f>
        <v>65.1</v>
      </c>
      <c r="J105" s="60" t="n">
        <f aca="false">E105-I105</f>
        <v>304.25</v>
      </c>
      <c r="K105" s="80"/>
      <c r="L105" s="81"/>
      <c r="M105" s="82" t="n">
        <v>27</v>
      </c>
      <c r="N105" s="82"/>
      <c r="O105" s="82" t="n">
        <v>20</v>
      </c>
      <c r="P105" s="82"/>
      <c r="Q105" s="82"/>
      <c r="R105" s="59" t="n">
        <f aca="false">SUM(K105:Q105)</f>
        <v>47</v>
      </c>
      <c r="S105" s="60" t="n">
        <f aca="false">J105-R105</f>
        <v>257.25</v>
      </c>
      <c r="T105" s="82" t="n">
        <v>22</v>
      </c>
      <c r="U105" s="82" t="n">
        <v>21</v>
      </c>
      <c r="V105" s="83"/>
      <c r="W105" s="79"/>
      <c r="X105" s="80" t="n">
        <v>22</v>
      </c>
      <c r="Y105" s="80"/>
      <c r="Z105" s="80" t="n">
        <v>28</v>
      </c>
      <c r="AA105" s="59" t="n">
        <f aca="false">SUM(T105:Z105)</f>
        <v>93</v>
      </c>
      <c r="AB105" s="60" t="n">
        <f aca="false">S105-AA105</f>
        <v>164.25</v>
      </c>
      <c r="AC105" s="80" t="n">
        <v>32</v>
      </c>
      <c r="AD105" s="80"/>
      <c r="AE105" s="80"/>
      <c r="AF105" s="80"/>
      <c r="AG105" s="80"/>
      <c r="AH105" s="80"/>
      <c r="AI105" s="83"/>
      <c r="AJ105" s="65" t="n">
        <f aca="false">SUM(AC105:AI105)</f>
        <v>32</v>
      </c>
      <c r="AK105" s="60" t="n">
        <f aca="false">AB105-AJ105</f>
        <v>132.25</v>
      </c>
      <c r="AL105" s="80"/>
      <c r="AM105" s="80"/>
      <c r="AN105" s="80"/>
      <c r="AO105" s="80"/>
      <c r="AP105" s="75"/>
      <c r="AQ105" s="75"/>
      <c r="AR105" s="75"/>
      <c r="AS105" s="60" t="n">
        <f aca="false">SUM(AL105:AR105)</f>
        <v>0</v>
      </c>
      <c r="AT105" s="60" t="n">
        <f aca="false">AK105-AS105</f>
        <v>132.25</v>
      </c>
    </row>
    <row r="106" customFormat="false" ht="13.5" hidden="false" customHeight="true" outlineLevel="0" collapsed="false">
      <c r="A106" s="76"/>
      <c r="B106" s="77" t="s">
        <v>116</v>
      </c>
      <c r="C106" s="77" t="s">
        <v>14</v>
      </c>
      <c r="D106" s="78" t="n">
        <v>33</v>
      </c>
      <c r="E106" s="56" t="n">
        <v>304.8</v>
      </c>
      <c r="F106" s="79"/>
      <c r="G106" s="80" t="n">
        <v>25</v>
      </c>
      <c r="H106" s="80"/>
      <c r="I106" s="59" t="n">
        <f aca="false">SUM(F106:H106)</f>
        <v>25</v>
      </c>
      <c r="J106" s="60" t="n">
        <f aca="false">E106-I106</f>
        <v>279.8</v>
      </c>
      <c r="K106" s="80"/>
      <c r="L106" s="81"/>
      <c r="M106" s="82"/>
      <c r="N106" s="82"/>
      <c r="O106" s="82"/>
      <c r="P106" s="82"/>
      <c r="Q106" s="82"/>
      <c r="R106" s="59" t="n">
        <f aca="false">SUM(K106:Q106)</f>
        <v>0</v>
      </c>
      <c r="S106" s="60" t="n">
        <f aca="false">J106-R106</f>
        <v>279.8</v>
      </c>
      <c r="T106" s="82" t="n">
        <v>22</v>
      </c>
      <c r="U106" s="82"/>
      <c r="V106" s="83"/>
      <c r="W106" s="79" t="n">
        <v>42</v>
      </c>
      <c r="X106" s="80"/>
      <c r="Y106" s="80"/>
      <c r="Z106" s="80"/>
      <c r="AA106" s="59" t="n">
        <f aca="false">SUM(T106:Z106)</f>
        <v>64</v>
      </c>
      <c r="AB106" s="60" t="n">
        <f aca="false">S106-AA106</f>
        <v>215.8</v>
      </c>
      <c r="AC106" s="80"/>
      <c r="AD106" s="80" t="n">
        <v>23</v>
      </c>
      <c r="AE106" s="80"/>
      <c r="AF106" s="80"/>
      <c r="AG106" s="80"/>
      <c r="AH106" s="80"/>
      <c r="AI106" s="83"/>
      <c r="AJ106" s="65" t="n">
        <f aca="false">SUM(AC106:AI106)</f>
        <v>23</v>
      </c>
      <c r="AK106" s="60" t="n">
        <f aca="false">AB106-AJ106</f>
        <v>192.8</v>
      </c>
      <c r="AL106" s="80"/>
      <c r="AM106" s="80"/>
      <c r="AN106" s="80"/>
      <c r="AO106" s="80"/>
      <c r="AP106" s="75"/>
      <c r="AQ106" s="75"/>
      <c r="AR106" s="75"/>
      <c r="AS106" s="60" t="n">
        <f aca="false">SUM(AL106:AR106)</f>
        <v>0</v>
      </c>
      <c r="AT106" s="60" t="n">
        <f aca="false">AK106-AS106</f>
        <v>192.8</v>
      </c>
    </row>
    <row r="107" customFormat="false" ht="13.5" hidden="false" customHeight="true" outlineLevel="0" collapsed="false">
      <c r="A107" s="76"/>
      <c r="B107" s="77" t="s">
        <v>117</v>
      </c>
      <c r="C107" s="77" t="s">
        <v>14</v>
      </c>
      <c r="D107" s="78" t="n">
        <v>198</v>
      </c>
      <c r="E107" s="56" t="n">
        <v>81.1</v>
      </c>
      <c r="F107" s="79" t="n">
        <v>7.8</v>
      </c>
      <c r="G107" s="80" t="n">
        <v>6.5</v>
      </c>
      <c r="H107" s="80"/>
      <c r="I107" s="59" t="n">
        <f aca="false">SUM(F107:H107)</f>
        <v>14.3</v>
      </c>
      <c r="J107" s="60" t="n">
        <f aca="false">E107-I107</f>
        <v>66.8</v>
      </c>
      <c r="K107" s="80"/>
      <c r="L107" s="81"/>
      <c r="M107" s="82"/>
      <c r="N107" s="82"/>
      <c r="O107" s="82" t="n">
        <v>7.5</v>
      </c>
      <c r="P107" s="82" t="n">
        <v>16</v>
      </c>
      <c r="Q107" s="82"/>
      <c r="R107" s="59" t="n">
        <f aca="false">SUM(K107:Q107)</f>
        <v>23.5</v>
      </c>
      <c r="S107" s="60" t="n">
        <f aca="false">J107-R107+24.8</f>
        <v>68.1</v>
      </c>
      <c r="T107" s="82" t="n">
        <v>43.3</v>
      </c>
      <c r="U107" s="82"/>
      <c r="V107" s="83"/>
      <c r="W107" s="79" t="n">
        <v>8.3</v>
      </c>
      <c r="X107" s="80" t="n">
        <v>10</v>
      </c>
      <c r="Y107" s="80"/>
      <c r="Z107" s="80"/>
      <c r="AA107" s="59" t="n">
        <f aca="false">SUM(T107:Z107)</f>
        <v>61.6</v>
      </c>
      <c r="AB107" s="60" t="n">
        <f aca="false">S107-AA107</f>
        <v>6.5</v>
      </c>
      <c r="AC107" s="80"/>
      <c r="AD107" s="80"/>
      <c r="AE107" s="80" t="n">
        <v>8</v>
      </c>
      <c r="AF107" s="80"/>
      <c r="AG107" s="80"/>
      <c r="AH107" s="80"/>
      <c r="AI107" s="83"/>
      <c r="AJ107" s="65" t="n">
        <f aca="false">SUM(AC107:AI107)</f>
        <v>8</v>
      </c>
      <c r="AK107" s="60" t="n">
        <f aca="false">AB107-AJ107</f>
        <v>-1.5</v>
      </c>
      <c r="AL107" s="80"/>
      <c r="AM107" s="80"/>
      <c r="AN107" s="80"/>
      <c r="AO107" s="80"/>
      <c r="AP107" s="75"/>
      <c r="AQ107" s="75"/>
      <c r="AR107" s="75"/>
      <c r="AS107" s="60" t="n">
        <f aca="false">SUM(AL107:AR107)</f>
        <v>0</v>
      </c>
      <c r="AT107" s="60" t="n">
        <f aca="false">AK107-AS107</f>
        <v>-1.5</v>
      </c>
    </row>
    <row r="108" customFormat="false" ht="13.5" hidden="false" customHeight="true" outlineLevel="0" collapsed="false">
      <c r="A108" s="76"/>
      <c r="B108" s="77" t="s">
        <v>118</v>
      </c>
      <c r="C108" s="77" t="s">
        <v>14</v>
      </c>
      <c r="D108" s="78" t="n">
        <v>341</v>
      </c>
      <c r="E108" s="56" t="n">
        <v>45</v>
      </c>
      <c r="F108" s="79"/>
      <c r="G108" s="80"/>
      <c r="H108" s="80"/>
      <c r="I108" s="59" t="n">
        <f aca="false">SUM(F108:H108)</f>
        <v>0</v>
      </c>
      <c r="J108" s="60" t="n">
        <f aca="false">E108-I108</f>
        <v>45</v>
      </c>
      <c r="K108" s="80"/>
      <c r="L108" s="81"/>
      <c r="M108" s="82"/>
      <c r="N108" s="82" t="n">
        <v>11</v>
      </c>
      <c r="O108" s="82" t="n">
        <v>13</v>
      </c>
      <c r="P108" s="82"/>
      <c r="Q108" s="82" t="n">
        <v>11</v>
      </c>
      <c r="R108" s="59" t="n">
        <f aca="false">SUM(K108:Q108)</f>
        <v>35</v>
      </c>
      <c r="S108" s="60" t="n">
        <f aca="false">J108-R108+21</f>
        <v>31</v>
      </c>
      <c r="T108" s="82" t="n">
        <v>10</v>
      </c>
      <c r="U108" s="82"/>
      <c r="V108" s="83" t="n">
        <v>5</v>
      </c>
      <c r="W108" s="79" t="n">
        <v>4.8</v>
      </c>
      <c r="X108" s="80"/>
      <c r="Y108" s="80"/>
      <c r="Z108" s="80"/>
      <c r="AA108" s="59" t="n">
        <f aca="false">SUM(T108:Z108)</f>
        <v>19.8</v>
      </c>
      <c r="AB108" s="60" t="n">
        <f aca="false">S108-AA108</f>
        <v>11.2</v>
      </c>
      <c r="AC108" s="80"/>
      <c r="AD108" s="80"/>
      <c r="AE108" s="80"/>
      <c r="AF108" s="80"/>
      <c r="AG108" s="80"/>
      <c r="AH108" s="80"/>
      <c r="AI108" s="83"/>
      <c r="AJ108" s="65" t="n">
        <f aca="false">SUM(AC108:AI108)</f>
        <v>0</v>
      </c>
      <c r="AK108" s="60" t="n">
        <f aca="false">AB108-AJ108</f>
        <v>11.2</v>
      </c>
      <c r="AL108" s="80"/>
      <c r="AM108" s="80"/>
      <c r="AN108" s="80"/>
      <c r="AO108" s="80"/>
      <c r="AP108" s="75"/>
      <c r="AQ108" s="75"/>
      <c r="AR108" s="75"/>
      <c r="AS108" s="60" t="n">
        <f aca="false">SUM(AL108:AR108)</f>
        <v>0</v>
      </c>
      <c r="AT108" s="60" t="n">
        <f aca="false">AK108-AS108</f>
        <v>11.2</v>
      </c>
    </row>
    <row r="109" customFormat="false" ht="13.5" hidden="false" customHeight="true" outlineLevel="0" collapsed="false">
      <c r="A109" s="76"/>
      <c r="B109" s="77" t="s">
        <v>119</v>
      </c>
      <c r="C109" s="77" t="s">
        <v>14</v>
      </c>
      <c r="D109" s="78" t="n">
        <v>156.2</v>
      </c>
      <c r="E109" s="56" t="n">
        <v>10</v>
      </c>
      <c r="F109" s="79"/>
      <c r="G109" s="80"/>
      <c r="H109" s="80"/>
      <c r="I109" s="59" t="n">
        <f aca="false">SUM(F109:H109)</f>
        <v>0</v>
      </c>
      <c r="J109" s="60" t="n">
        <f aca="false">E109-I109</f>
        <v>10</v>
      </c>
      <c r="K109" s="80"/>
      <c r="L109" s="81"/>
      <c r="M109" s="82"/>
      <c r="N109" s="82"/>
      <c r="O109" s="82"/>
      <c r="P109" s="82"/>
      <c r="Q109" s="82"/>
      <c r="R109" s="59" t="n">
        <f aca="false">SUM(K109:Q109)</f>
        <v>0</v>
      </c>
      <c r="S109" s="60" t="n">
        <v>30</v>
      </c>
      <c r="T109" s="82"/>
      <c r="U109" s="82"/>
      <c r="V109" s="83"/>
      <c r="W109" s="79"/>
      <c r="X109" s="80"/>
      <c r="Y109" s="80" t="n">
        <v>10</v>
      </c>
      <c r="Z109" s="80"/>
      <c r="AA109" s="59" t="n">
        <f aca="false">SUM(T109:Z109)</f>
        <v>10</v>
      </c>
      <c r="AB109" s="60" t="n">
        <f aca="false">S109-AA109</f>
        <v>20</v>
      </c>
      <c r="AC109" s="80"/>
      <c r="AD109" s="80"/>
      <c r="AE109" s="80"/>
      <c r="AF109" s="80"/>
      <c r="AG109" s="80"/>
      <c r="AH109" s="80"/>
      <c r="AI109" s="83"/>
      <c r="AJ109" s="65" t="n">
        <f aca="false">SUM(AC109:AI109)</f>
        <v>0</v>
      </c>
      <c r="AK109" s="60" t="n">
        <f aca="false">AB109-AJ109</f>
        <v>20</v>
      </c>
      <c r="AL109" s="80"/>
      <c r="AM109" s="80"/>
      <c r="AN109" s="80"/>
      <c r="AO109" s="80"/>
      <c r="AP109" s="75"/>
      <c r="AQ109" s="75"/>
      <c r="AR109" s="75"/>
      <c r="AS109" s="60" t="n">
        <f aca="false">SUM(AL109:AR109)</f>
        <v>0</v>
      </c>
      <c r="AT109" s="60" t="n">
        <f aca="false">AK109-AS109</f>
        <v>20</v>
      </c>
    </row>
    <row r="110" customFormat="false" ht="13.5" hidden="false" customHeight="true" outlineLevel="0" collapsed="false">
      <c r="A110" s="76"/>
      <c r="B110" s="77" t="s">
        <v>120</v>
      </c>
      <c r="C110" s="77" t="s">
        <v>23</v>
      </c>
      <c r="D110" s="78" t="n">
        <v>65</v>
      </c>
      <c r="E110" s="56" t="n">
        <v>6.04</v>
      </c>
      <c r="F110" s="79"/>
      <c r="G110" s="80"/>
      <c r="H110" s="80"/>
      <c r="I110" s="59" t="n">
        <f aca="false">SUM(F110:H110)</f>
        <v>0</v>
      </c>
      <c r="J110" s="60" t="n">
        <f aca="false">E110-I110</f>
        <v>6.04</v>
      </c>
      <c r="K110" s="80"/>
      <c r="L110" s="81"/>
      <c r="M110" s="82"/>
      <c r="N110" s="82"/>
      <c r="O110" s="82"/>
      <c r="P110" s="82"/>
      <c r="Q110" s="82"/>
      <c r="R110" s="59" t="n">
        <f aca="false">SUM(K110:Q110)</f>
        <v>0</v>
      </c>
      <c r="S110" s="60" t="n">
        <f aca="false">J110-R110+29</f>
        <v>35.04</v>
      </c>
      <c r="T110" s="82"/>
      <c r="U110" s="82"/>
      <c r="V110" s="83"/>
      <c r="W110" s="79"/>
      <c r="X110" s="80"/>
      <c r="Y110" s="80"/>
      <c r="Z110" s="80"/>
      <c r="AA110" s="59" t="n">
        <f aca="false">SUM(T110:Z110)</f>
        <v>0</v>
      </c>
      <c r="AB110" s="60" t="n">
        <f aca="false">S110-AA110</f>
        <v>35.04</v>
      </c>
      <c r="AC110" s="80"/>
      <c r="AD110" s="80"/>
      <c r="AE110" s="80" t="n">
        <v>26</v>
      </c>
      <c r="AF110" s="80"/>
      <c r="AG110" s="80"/>
      <c r="AH110" s="80"/>
      <c r="AI110" s="83"/>
      <c r="AJ110" s="65" t="n">
        <f aca="false">SUM(AC110:AI110)</f>
        <v>26</v>
      </c>
      <c r="AK110" s="60" t="n">
        <f aca="false">AB110-AJ110</f>
        <v>9.04</v>
      </c>
      <c r="AL110" s="80"/>
      <c r="AM110" s="80"/>
      <c r="AN110" s="80"/>
      <c r="AO110" s="80"/>
      <c r="AP110" s="75"/>
      <c r="AQ110" s="75"/>
      <c r="AR110" s="75"/>
      <c r="AS110" s="60" t="n">
        <f aca="false">SUM(AL110:AR110)</f>
        <v>0</v>
      </c>
      <c r="AT110" s="60" t="n">
        <f aca="false">AK110-AS110</f>
        <v>9.04</v>
      </c>
    </row>
    <row r="111" customFormat="false" ht="13.5" hidden="false" customHeight="true" outlineLevel="0" collapsed="false">
      <c r="A111" s="76"/>
      <c r="B111" s="77" t="s">
        <v>121</v>
      </c>
      <c r="C111" s="77" t="s">
        <v>14</v>
      </c>
      <c r="D111" s="78" t="n">
        <v>209</v>
      </c>
      <c r="E111" s="56" t="n">
        <v>99.1</v>
      </c>
      <c r="F111" s="79" t="n">
        <v>5.2</v>
      </c>
      <c r="G111" s="80"/>
      <c r="H111" s="80"/>
      <c r="I111" s="59" t="n">
        <f aca="false">SUM(F111:H111)</f>
        <v>5.2</v>
      </c>
      <c r="J111" s="60" t="n">
        <f aca="false">E111-I111</f>
        <v>93.9</v>
      </c>
      <c r="K111" s="80"/>
      <c r="L111" s="81" t="n">
        <v>5.1</v>
      </c>
      <c r="M111" s="82" t="n">
        <v>5.3</v>
      </c>
      <c r="N111" s="82" t="n">
        <v>5.3</v>
      </c>
      <c r="O111" s="82" t="n">
        <v>38.6</v>
      </c>
      <c r="P111" s="82"/>
      <c r="Q111" s="82"/>
      <c r="R111" s="59" t="n">
        <f aca="false">SUM(K111:Q111)</f>
        <v>54.3</v>
      </c>
      <c r="S111" s="60" t="n">
        <f aca="false">J111-R111+21</f>
        <v>60.6</v>
      </c>
      <c r="T111" s="82"/>
      <c r="U111" s="82"/>
      <c r="V111" s="83"/>
      <c r="W111" s="79" t="n">
        <v>12</v>
      </c>
      <c r="X111" s="80" t="n">
        <v>12</v>
      </c>
      <c r="Y111" s="80"/>
      <c r="Z111" s="80"/>
      <c r="AA111" s="59" t="n">
        <f aca="false">SUM(T111:Z111)</f>
        <v>24</v>
      </c>
      <c r="AB111" s="60" t="n">
        <f aca="false">S111-AA111</f>
        <v>36.6</v>
      </c>
      <c r="AC111" s="80"/>
      <c r="AD111" s="80"/>
      <c r="AE111" s="80" t="n">
        <v>8</v>
      </c>
      <c r="AF111" s="80"/>
      <c r="AG111" s="80"/>
      <c r="AH111" s="80"/>
      <c r="AI111" s="83"/>
      <c r="AJ111" s="65" t="n">
        <f aca="false">SUM(AC111:AI111)</f>
        <v>8</v>
      </c>
      <c r="AK111" s="60" t="n">
        <f aca="false">AB111-AJ111</f>
        <v>28.6</v>
      </c>
      <c r="AL111" s="80"/>
      <c r="AM111" s="80"/>
      <c r="AN111" s="80"/>
      <c r="AO111" s="80"/>
      <c r="AP111" s="75"/>
      <c r="AQ111" s="75"/>
      <c r="AR111" s="75"/>
      <c r="AS111" s="60" t="n">
        <f aca="false">SUM(AL111:AR111)</f>
        <v>0</v>
      </c>
      <c r="AT111" s="60" t="n">
        <f aca="false">AK111-AS111</f>
        <v>28.6</v>
      </c>
    </row>
    <row r="112" customFormat="false" ht="13.5" hidden="false" customHeight="true" outlineLevel="0" collapsed="false">
      <c r="A112" s="76"/>
      <c r="B112" s="77" t="s">
        <v>122</v>
      </c>
      <c r="C112" s="77" t="s">
        <v>14</v>
      </c>
      <c r="D112" s="78" t="n">
        <v>36.3</v>
      </c>
      <c r="E112" s="56" t="n">
        <v>158.05</v>
      </c>
      <c r="F112" s="79"/>
      <c r="G112" s="80"/>
      <c r="H112" s="80"/>
      <c r="I112" s="59" t="n">
        <f aca="false">SUM(F112:H112)</f>
        <v>0</v>
      </c>
      <c r="J112" s="60" t="n">
        <f aca="false">E112-I112</f>
        <v>158.05</v>
      </c>
      <c r="K112" s="80"/>
      <c r="L112" s="81"/>
      <c r="M112" s="82"/>
      <c r="N112" s="82"/>
      <c r="O112" s="82"/>
      <c r="P112" s="82"/>
      <c r="Q112" s="82"/>
      <c r="R112" s="59" t="n">
        <f aca="false">SUM(K112:Q112)</f>
        <v>0</v>
      </c>
      <c r="S112" s="60" t="n">
        <f aca="false">J112-R112</f>
        <v>158.05</v>
      </c>
      <c r="T112" s="82" t="n">
        <v>40</v>
      </c>
      <c r="U112" s="82" t="n">
        <v>36</v>
      </c>
      <c r="V112" s="83"/>
      <c r="W112" s="79"/>
      <c r="X112" s="80"/>
      <c r="Y112" s="80"/>
      <c r="Z112" s="80"/>
      <c r="AA112" s="59" t="n">
        <f aca="false">SUM(T112:Z112)</f>
        <v>76</v>
      </c>
      <c r="AB112" s="60" t="n">
        <f aca="false">S112-AA112</f>
        <v>82.05</v>
      </c>
      <c r="AC112" s="80"/>
      <c r="AD112" s="80"/>
      <c r="AE112" s="80"/>
      <c r="AF112" s="80"/>
      <c r="AG112" s="80"/>
      <c r="AH112" s="80"/>
      <c r="AI112" s="83"/>
      <c r="AJ112" s="65" t="n">
        <f aca="false">SUM(AC112:AI112)</f>
        <v>0</v>
      </c>
      <c r="AK112" s="60" t="n">
        <f aca="false">AB112-AJ112</f>
        <v>82.05</v>
      </c>
      <c r="AL112" s="80"/>
      <c r="AM112" s="80"/>
      <c r="AN112" s="80"/>
      <c r="AO112" s="80"/>
      <c r="AP112" s="75"/>
      <c r="AQ112" s="75"/>
      <c r="AR112" s="75"/>
      <c r="AS112" s="60" t="n">
        <f aca="false">SUM(AL112:AR112)</f>
        <v>0</v>
      </c>
      <c r="AT112" s="60" t="n">
        <f aca="false">AK112-AS112</f>
        <v>82.05</v>
      </c>
    </row>
    <row r="113" customFormat="false" ht="13.5" hidden="false" customHeight="true" outlineLevel="0" collapsed="false">
      <c r="A113" s="76"/>
      <c r="B113" s="77" t="s">
        <v>123</v>
      </c>
      <c r="C113" s="77" t="s">
        <v>14</v>
      </c>
      <c r="D113" s="78" t="n">
        <v>145.2</v>
      </c>
      <c r="E113" s="56" t="n">
        <v>0</v>
      </c>
      <c r="F113" s="79"/>
      <c r="G113" s="80"/>
      <c r="H113" s="80"/>
      <c r="I113" s="59" t="n">
        <f aca="false">SUM(F113:H113)</f>
        <v>0</v>
      </c>
      <c r="J113" s="60" t="n">
        <f aca="false">E113-I113</f>
        <v>0</v>
      </c>
      <c r="K113" s="80"/>
      <c r="L113" s="81"/>
      <c r="M113" s="82"/>
      <c r="N113" s="82"/>
      <c r="O113" s="82"/>
      <c r="P113" s="82"/>
      <c r="Q113" s="82"/>
      <c r="R113" s="59" t="n">
        <f aca="false">SUM(K113:Q113)</f>
        <v>0</v>
      </c>
      <c r="S113" s="60" t="n">
        <f aca="false">J113-R113</f>
        <v>0</v>
      </c>
      <c r="T113" s="82"/>
      <c r="U113" s="82"/>
      <c r="V113" s="83"/>
      <c r="W113" s="79"/>
      <c r="X113" s="80"/>
      <c r="Y113" s="80"/>
      <c r="Z113" s="80"/>
      <c r="AA113" s="59" t="n">
        <f aca="false">SUM(T113:Z113)</f>
        <v>0</v>
      </c>
      <c r="AB113" s="60" t="n">
        <f aca="false">S113-AA113</f>
        <v>0</v>
      </c>
      <c r="AC113" s="80"/>
      <c r="AD113" s="80"/>
      <c r="AE113" s="80"/>
      <c r="AF113" s="80"/>
      <c r="AG113" s="80"/>
      <c r="AH113" s="80"/>
      <c r="AI113" s="83"/>
      <c r="AJ113" s="65" t="n">
        <f aca="false">SUM(AC113:AI113)</f>
        <v>0</v>
      </c>
      <c r="AK113" s="60" t="n">
        <f aca="false">AB113-AJ113</f>
        <v>0</v>
      </c>
      <c r="AL113" s="80"/>
      <c r="AM113" s="80"/>
      <c r="AN113" s="80"/>
      <c r="AO113" s="80"/>
      <c r="AP113" s="75"/>
      <c r="AQ113" s="75"/>
      <c r="AR113" s="75"/>
      <c r="AS113" s="60" t="n">
        <f aca="false">SUM(AL113:AR113)</f>
        <v>0</v>
      </c>
      <c r="AT113" s="60" t="n">
        <f aca="false">AK113-AS113</f>
        <v>0</v>
      </c>
    </row>
    <row r="114" customFormat="false" ht="13.5" hidden="false" customHeight="true" outlineLevel="0" collapsed="false">
      <c r="A114" s="76"/>
      <c r="B114" s="77" t="s">
        <v>124</v>
      </c>
      <c r="C114" s="77" t="s">
        <v>14</v>
      </c>
      <c r="D114" s="78" t="n">
        <v>135.3</v>
      </c>
      <c r="E114" s="56" t="n">
        <v>60</v>
      </c>
      <c r="F114" s="79"/>
      <c r="G114" s="80"/>
      <c r="H114" s="80"/>
      <c r="I114" s="59" t="n">
        <f aca="false">SUM(F114:H114)</f>
        <v>0</v>
      </c>
      <c r="J114" s="60" t="n">
        <f aca="false">E114-I114</f>
        <v>60</v>
      </c>
      <c r="K114" s="80"/>
      <c r="L114" s="81"/>
      <c r="M114" s="82"/>
      <c r="N114" s="82"/>
      <c r="O114" s="82"/>
      <c r="P114" s="82"/>
      <c r="Q114" s="82"/>
      <c r="R114" s="59" t="n">
        <f aca="false">SUM(K114:Q114)</f>
        <v>0</v>
      </c>
      <c r="S114" s="60" t="n">
        <f aca="false">J114-R114</f>
        <v>60</v>
      </c>
      <c r="T114" s="82"/>
      <c r="U114" s="82"/>
      <c r="V114" s="83"/>
      <c r="W114" s="79" t="n">
        <v>10</v>
      </c>
      <c r="X114" s="80"/>
      <c r="Y114" s="80"/>
      <c r="Z114" s="80"/>
      <c r="AA114" s="59" t="n">
        <f aca="false">SUM(T114:Z114)</f>
        <v>10</v>
      </c>
      <c r="AB114" s="60" t="n">
        <f aca="false">S114-AA114</f>
        <v>50</v>
      </c>
      <c r="AC114" s="80"/>
      <c r="AD114" s="80"/>
      <c r="AE114" s="80"/>
      <c r="AF114" s="80"/>
      <c r="AG114" s="80"/>
      <c r="AH114" s="80"/>
      <c r="AI114" s="83"/>
      <c r="AJ114" s="65" t="n">
        <f aca="false">SUM(AC114:AI114)</f>
        <v>0</v>
      </c>
      <c r="AK114" s="60" t="n">
        <f aca="false">AB114-AJ114</f>
        <v>50</v>
      </c>
      <c r="AL114" s="80"/>
      <c r="AM114" s="80"/>
      <c r="AN114" s="80"/>
      <c r="AO114" s="80"/>
      <c r="AP114" s="75"/>
      <c r="AQ114" s="75"/>
      <c r="AR114" s="75"/>
      <c r="AS114" s="60" t="n">
        <f aca="false">SUM(AL114:AR114)</f>
        <v>0</v>
      </c>
      <c r="AT114" s="60" t="n">
        <f aca="false">AK114-AS114</f>
        <v>50</v>
      </c>
    </row>
    <row r="115" customFormat="false" ht="13.5" hidden="false" customHeight="true" outlineLevel="0" collapsed="false">
      <c r="A115" s="76"/>
      <c r="B115" s="77" t="s">
        <v>125</v>
      </c>
      <c r="C115" s="77" t="s">
        <v>14</v>
      </c>
      <c r="D115" s="78" t="n">
        <v>275</v>
      </c>
      <c r="E115" s="56" t="n">
        <v>30.9</v>
      </c>
      <c r="F115" s="79"/>
      <c r="G115" s="80"/>
      <c r="H115" s="80"/>
      <c r="I115" s="59" t="n">
        <f aca="false">SUM(F115:H115)</f>
        <v>0</v>
      </c>
      <c r="J115" s="60" t="n">
        <f aca="false">E115-I115</f>
        <v>30.9</v>
      </c>
      <c r="K115" s="80"/>
      <c r="L115" s="81"/>
      <c r="M115" s="82"/>
      <c r="N115" s="82" t="n">
        <v>4</v>
      </c>
      <c r="O115" s="82"/>
      <c r="P115" s="82"/>
      <c r="Q115" s="82"/>
      <c r="R115" s="59" t="n">
        <f aca="false">SUM(K115:Q115)</f>
        <v>4</v>
      </c>
      <c r="S115" s="60" t="n">
        <f aca="false">J115-R115</f>
        <v>26.9</v>
      </c>
      <c r="T115" s="82" t="n">
        <v>9.4</v>
      </c>
      <c r="U115" s="82"/>
      <c r="V115" s="83"/>
      <c r="W115" s="79"/>
      <c r="X115" s="80"/>
      <c r="Y115" s="80"/>
      <c r="Z115" s="80"/>
      <c r="AA115" s="59" t="n">
        <f aca="false">SUM(T115:Z115)</f>
        <v>9.4</v>
      </c>
      <c r="AB115" s="60" t="n">
        <f aca="false">S115-AA115</f>
        <v>17.5</v>
      </c>
      <c r="AC115" s="80" t="n">
        <v>10</v>
      </c>
      <c r="AD115" s="80"/>
      <c r="AE115" s="80"/>
      <c r="AF115" s="80"/>
      <c r="AG115" s="80"/>
      <c r="AH115" s="80"/>
      <c r="AI115" s="83"/>
      <c r="AJ115" s="65" t="n">
        <f aca="false">SUM(AC115:AI115)</f>
        <v>10</v>
      </c>
      <c r="AK115" s="60" t="n">
        <f aca="false">AB115-AJ115</f>
        <v>7.50000000000001</v>
      </c>
      <c r="AL115" s="80"/>
      <c r="AM115" s="80"/>
      <c r="AN115" s="80"/>
      <c r="AO115" s="80"/>
      <c r="AP115" s="75"/>
      <c r="AQ115" s="75"/>
      <c r="AR115" s="75"/>
      <c r="AS115" s="60" t="n">
        <f aca="false">SUM(AL115:AR115)</f>
        <v>0</v>
      </c>
      <c r="AT115" s="60" t="n">
        <f aca="false">AK115-AS115</f>
        <v>7.50000000000001</v>
      </c>
    </row>
    <row r="116" customFormat="false" ht="13.5" hidden="false" customHeight="true" outlineLevel="0" collapsed="false">
      <c r="A116" s="76"/>
      <c r="B116" s="77" t="s">
        <v>126</v>
      </c>
      <c r="C116" s="77" t="s">
        <v>14</v>
      </c>
      <c r="D116" s="78" t="n">
        <v>732.599958132719</v>
      </c>
      <c r="E116" s="56" t="n">
        <v>4.6</v>
      </c>
      <c r="F116" s="79"/>
      <c r="G116" s="80"/>
      <c r="H116" s="80"/>
      <c r="I116" s="59" t="n">
        <f aca="false">SUM(F116:H116)</f>
        <v>0</v>
      </c>
      <c r="J116" s="60" t="n">
        <f aca="false">E116-I116</f>
        <v>4.6</v>
      </c>
      <c r="K116" s="80"/>
      <c r="L116" s="81"/>
      <c r="M116" s="82"/>
      <c r="N116" s="82"/>
      <c r="O116" s="82"/>
      <c r="P116" s="82"/>
      <c r="Q116" s="82"/>
      <c r="R116" s="59" t="n">
        <f aca="false">SUM(K116:Q116)</f>
        <v>0</v>
      </c>
      <c r="S116" s="60" t="n">
        <f aca="false">J116-R116</f>
        <v>4.6</v>
      </c>
      <c r="T116" s="82"/>
      <c r="U116" s="82"/>
      <c r="V116" s="83"/>
      <c r="W116" s="79"/>
      <c r="X116" s="80"/>
      <c r="Y116" s="80"/>
      <c r="Z116" s="80"/>
      <c r="AA116" s="59" t="n">
        <f aca="false">SUM(T116:Z116)</f>
        <v>0</v>
      </c>
      <c r="AB116" s="60" t="n">
        <f aca="false">S116-AA116</f>
        <v>4.6</v>
      </c>
      <c r="AC116" s="80"/>
      <c r="AD116" s="80"/>
      <c r="AE116" s="80"/>
      <c r="AF116" s="80"/>
      <c r="AG116" s="80"/>
      <c r="AH116" s="80"/>
      <c r="AI116" s="83"/>
      <c r="AJ116" s="65" t="n">
        <f aca="false">SUM(AC116:AI116)</f>
        <v>0</v>
      </c>
      <c r="AK116" s="60" t="n">
        <f aca="false">AB116-AJ116</f>
        <v>4.6</v>
      </c>
      <c r="AL116" s="80"/>
      <c r="AM116" s="80"/>
      <c r="AN116" s="80"/>
      <c r="AO116" s="80"/>
      <c r="AP116" s="75"/>
      <c r="AQ116" s="75"/>
      <c r="AR116" s="75"/>
      <c r="AS116" s="60" t="n">
        <f aca="false">SUM(AL116:AR116)</f>
        <v>0</v>
      </c>
      <c r="AT116" s="60" t="n">
        <f aca="false">AK116-AS116</f>
        <v>4.6</v>
      </c>
    </row>
    <row r="117" customFormat="false" ht="13.5" hidden="false" customHeight="true" outlineLevel="0" collapsed="false">
      <c r="A117" s="76"/>
      <c r="B117" s="77" t="s">
        <v>127</v>
      </c>
      <c r="C117" s="77" t="s">
        <v>14</v>
      </c>
      <c r="D117" s="78" t="n">
        <v>242</v>
      </c>
      <c r="E117" s="56" t="n">
        <v>6.85</v>
      </c>
      <c r="F117" s="79"/>
      <c r="G117" s="80"/>
      <c r="H117" s="80"/>
      <c r="I117" s="59" t="n">
        <f aca="false">SUM(F117:H117)</f>
        <v>0</v>
      </c>
      <c r="J117" s="60" t="n">
        <f aca="false">E117-I117</f>
        <v>6.85</v>
      </c>
      <c r="K117" s="80"/>
      <c r="L117" s="81"/>
      <c r="M117" s="82"/>
      <c r="N117" s="82"/>
      <c r="O117" s="82"/>
      <c r="P117" s="82"/>
      <c r="Q117" s="82"/>
      <c r="R117" s="59" t="n">
        <f aca="false">SUM(K117:Q117)</f>
        <v>0</v>
      </c>
      <c r="S117" s="60" t="n">
        <f aca="false">J117-R117</f>
        <v>6.85</v>
      </c>
      <c r="T117" s="82"/>
      <c r="U117" s="82"/>
      <c r="V117" s="83"/>
      <c r="W117" s="79"/>
      <c r="X117" s="80"/>
      <c r="Y117" s="80"/>
      <c r="Z117" s="80"/>
      <c r="AA117" s="59" t="n">
        <f aca="false">SUM(T117:Z117)</f>
        <v>0</v>
      </c>
      <c r="AB117" s="60" t="n">
        <f aca="false">S117-AA117</f>
        <v>6.85</v>
      </c>
      <c r="AC117" s="80"/>
      <c r="AD117" s="80"/>
      <c r="AE117" s="80"/>
      <c r="AF117" s="80"/>
      <c r="AG117" s="80"/>
      <c r="AH117" s="80"/>
      <c r="AI117" s="83"/>
      <c r="AJ117" s="65" t="n">
        <f aca="false">SUM(AC117:AI117)</f>
        <v>0</v>
      </c>
      <c r="AK117" s="60" t="n">
        <f aca="false">AB117-AJ117</f>
        <v>6.85</v>
      </c>
      <c r="AL117" s="80"/>
      <c r="AM117" s="80"/>
      <c r="AN117" s="80"/>
      <c r="AO117" s="80"/>
      <c r="AP117" s="75"/>
      <c r="AQ117" s="75"/>
      <c r="AR117" s="75"/>
      <c r="AS117" s="60" t="n">
        <f aca="false">SUM(AL117:AR117)</f>
        <v>0</v>
      </c>
      <c r="AT117" s="60" t="n">
        <f aca="false">AK117-AS117</f>
        <v>6.85</v>
      </c>
    </row>
    <row r="118" customFormat="false" ht="13.5" hidden="false" customHeight="true" outlineLevel="0" collapsed="false">
      <c r="A118" s="76"/>
      <c r="B118" s="77" t="s">
        <v>128</v>
      </c>
      <c r="C118" s="77" t="s">
        <v>14</v>
      </c>
      <c r="D118" s="78" t="n">
        <v>580.985915492958</v>
      </c>
      <c r="E118" s="56" t="n">
        <v>5</v>
      </c>
      <c r="F118" s="79"/>
      <c r="G118" s="80"/>
      <c r="H118" s="80"/>
      <c r="I118" s="59" t="n">
        <f aca="false">SUM(F118:H118)</f>
        <v>0</v>
      </c>
      <c r="J118" s="60" t="n">
        <f aca="false">E118-I118</f>
        <v>5</v>
      </c>
      <c r="K118" s="80"/>
      <c r="L118" s="81"/>
      <c r="M118" s="82"/>
      <c r="N118" s="82"/>
      <c r="O118" s="82"/>
      <c r="P118" s="82"/>
      <c r="Q118" s="82"/>
      <c r="R118" s="59" t="n">
        <f aca="false">SUM(K118:Q118)</f>
        <v>0</v>
      </c>
      <c r="S118" s="60" t="n">
        <f aca="false">J118-R118</f>
        <v>5</v>
      </c>
      <c r="T118" s="82"/>
      <c r="U118" s="82"/>
      <c r="V118" s="83"/>
      <c r="W118" s="79"/>
      <c r="X118" s="80"/>
      <c r="Y118" s="80"/>
      <c r="Z118" s="80"/>
      <c r="AA118" s="59" t="n">
        <f aca="false">SUM(T118:Z118)</f>
        <v>0</v>
      </c>
      <c r="AB118" s="60" t="n">
        <f aca="false">S118-AA118</f>
        <v>5</v>
      </c>
      <c r="AC118" s="80"/>
      <c r="AD118" s="80"/>
      <c r="AE118" s="80"/>
      <c r="AF118" s="80"/>
      <c r="AG118" s="80"/>
      <c r="AH118" s="80"/>
      <c r="AI118" s="83"/>
      <c r="AJ118" s="65" t="n">
        <f aca="false">SUM(AC118:AI118)</f>
        <v>0</v>
      </c>
      <c r="AK118" s="60" t="n">
        <f aca="false">AB118-AJ118</f>
        <v>5</v>
      </c>
      <c r="AL118" s="80"/>
      <c r="AM118" s="80"/>
      <c r="AN118" s="80"/>
      <c r="AO118" s="80"/>
      <c r="AP118" s="75"/>
      <c r="AQ118" s="75"/>
      <c r="AR118" s="75"/>
      <c r="AS118" s="60" t="n">
        <f aca="false">SUM(AL118:AR118)</f>
        <v>0</v>
      </c>
      <c r="AT118" s="60" t="n">
        <f aca="false">AK118-AS118</f>
        <v>5</v>
      </c>
    </row>
    <row r="119" customFormat="false" ht="13.5" hidden="false" customHeight="true" outlineLevel="0" collapsed="false">
      <c r="A119" s="76"/>
      <c r="B119" s="77" t="s">
        <v>129</v>
      </c>
      <c r="C119" s="77" t="s">
        <v>14</v>
      </c>
      <c r="D119" s="78" t="n">
        <v>319</v>
      </c>
      <c r="E119" s="56" t="n">
        <v>15.4</v>
      </c>
      <c r="F119" s="79"/>
      <c r="G119" s="80"/>
      <c r="H119" s="80"/>
      <c r="I119" s="59" t="n">
        <f aca="false">SUM(F119:H119)</f>
        <v>0</v>
      </c>
      <c r="J119" s="60" t="n">
        <f aca="false">E119-I119</f>
        <v>15.4</v>
      </c>
      <c r="K119" s="80"/>
      <c r="L119" s="81"/>
      <c r="M119" s="82"/>
      <c r="N119" s="82"/>
      <c r="O119" s="82" t="n">
        <v>15</v>
      </c>
      <c r="P119" s="82"/>
      <c r="Q119" s="82" t="n">
        <v>0.4</v>
      </c>
      <c r="R119" s="59" t="n">
        <f aca="false">SUM(K119:Q119)</f>
        <v>15.4</v>
      </c>
      <c r="S119" s="60" t="n">
        <f aca="false">J119-R119</f>
        <v>0</v>
      </c>
      <c r="T119" s="82"/>
      <c r="U119" s="82"/>
      <c r="V119" s="83"/>
      <c r="W119" s="79"/>
      <c r="X119" s="80"/>
      <c r="Y119" s="80"/>
      <c r="Z119" s="80"/>
      <c r="AA119" s="59" t="n">
        <f aca="false">SUM(T119:Z119)</f>
        <v>0</v>
      </c>
      <c r="AB119" s="60" t="n">
        <f aca="false">S119-AA119</f>
        <v>0</v>
      </c>
      <c r="AC119" s="80"/>
      <c r="AD119" s="80"/>
      <c r="AE119" s="80"/>
      <c r="AF119" s="80"/>
      <c r="AG119" s="80"/>
      <c r="AH119" s="80"/>
      <c r="AI119" s="83"/>
      <c r="AJ119" s="65" t="n">
        <f aca="false">SUM(AC119:AI119)</f>
        <v>0</v>
      </c>
      <c r="AK119" s="60" t="n">
        <f aca="false">AB119-AJ119</f>
        <v>0</v>
      </c>
      <c r="AL119" s="80"/>
      <c r="AM119" s="80"/>
      <c r="AN119" s="80"/>
      <c r="AO119" s="80"/>
      <c r="AP119" s="75"/>
      <c r="AQ119" s="75"/>
      <c r="AR119" s="75"/>
      <c r="AS119" s="60" t="n">
        <f aca="false">SUM(AL119:AR119)</f>
        <v>0</v>
      </c>
      <c r="AT119" s="60" t="n">
        <f aca="false">AK119-AS119</f>
        <v>0</v>
      </c>
    </row>
    <row r="120" customFormat="false" ht="13.5" hidden="false" customHeight="true" outlineLevel="0" collapsed="false">
      <c r="A120" s="76"/>
      <c r="B120" s="77" t="s">
        <v>130</v>
      </c>
      <c r="C120" s="77" t="s">
        <v>14</v>
      </c>
      <c r="D120" s="78" t="n">
        <v>187.938241385803</v>
      </c>
      <c r="E120" s="56" t="n">
        <v>4.96</v>
      </c>
      <c r="F120" s="79"/>
      <c r="G120" s="80"/>
      <c r="H120" s="80"/>
      <c r="I120" s="59" t="n">
        <f aca="false">SUM(F120:H120)</f>
        <v>0</v>
      </c>
      <c r="J120" s="60" t="n">
        <f aca="false">E120-I120</f>
        <v>4.96</v>
      </c>
      <c r="K120" s="80"/>
      <c r="L120" s="81"/>
      <c r="M120" s="82"/>
      <c r="N120" s="82"/>
      <c r="O120" s="82"/>
      <c r="P120" s="82"/>
      <c r="Q120" s="82"/>
      <c r="R120" s="59" t="n">
        <f aca="false">SUM(K120:Q120)</f>
        <v>0</v>
      </c>
      <c r="S120" s="60" t="n">
        <f aca="false">J120-R120</f>
        <v>4.96</v>
      </c>
      <c r="T120" s="82" t="n">
        <v>3</v>
      </c>
      <c r="U120" s="82"/>
      <c r="V120" s="83"/>
      <c r="W120" s="79"/>
      <c r="X120" s="80"/>
      <c r="Y120" s="80"/>
      <c r="Z120" s="80"/>
      <c r="AA120" s="59" t="n">
        <f aca="false">SUM(T120:Z120)</f>
        <v>3</v>
      </c>
      <c r="AB120" s="60" t="n">
        <f aca="false">S120-AA120</f>
        <v>1.96</v>
      </c>
      <c r="AC120" s="80"/>
      <c r="AD120" s="80"/>
      <c r="AE120" s="80"/>
      <c r="AF120" s="80"/>
      <c r="AG120" s="80"/>
      <c r="AH120" s="80"/>
      <c r="AI120" s="83"/>
      <c r="AJ120" s="65" t="n">
        <f aca="false">SUM(AC120:AI120)</f>
        <v>0</v>
      </c>
      <c r="AK120" s="60" t="n">
        <f aca="false">AB120-AJ120</f>
        <v>1.96</v>
      </c>
      <c r="AL120" s="80"/>
      <c r="AM120" s="80"/>
      <c r="AN120" s="80"/>
      <c r="AO120" s="80"/>
      <c r="AP120" s="75"/>
      <c r="AQ120" s="75"/>
      <c r="AR120" s="75"/>
      <c r="AS120" s="60" t="n">
        <f aca="false">SUM(AL120:AR120)</f>
        <v>0</v>
      </c>
      <c r="AT120" s="60" t="n">
        <f aca="false">AK120-AS120</f>
        <v>1.96</v>
      </c>
    </row>
    <row r="121" customFormat="false" ht="13.5" hidden="false" customHeight="true" outlineLevel="0" collapsed="false">
      <c r="A121" s="76"/>
      <c r="B121" s="77" t="s">
        <v>131</v>
      </c>
      <c r="C121" s="77" t="s">
        <v>19</v>
      </c>
      <c r="D121" s="78" t="n">
        <v>0.25</v>
      </c>
      <c r="E121" s="56" t="n">
        <v>2500</v>
      </c>
      <c r="F121" s="79"/>
      <c r="G121" s="80"/>
      <c r="H121" s="80"/>
      <c r="I121" s="59" t="n">
        <f aca="false">SUM(F121:H121)</f>
        <v>0</v>
      </c>
      <c r="J121" s="60" t="n">
        <f aca="false">E121-I121</f>
        <v>2500</v>
      </c>
      <c r="K121" s="80"/>
      <c r="L121" s="81"/>
      <c r="M121" s="82"/>
      <c r="N121" s="82"/>
      <c r="O121" s="82"/>
      <c r="P121" s="82"/>
      <c r="Q121" s="82"/>
      <c r="R121" s="59" t="n">
        <f aca="false">SUM(K121:Q121)</f>
        <v>0</v>
      </c>
      <c r="S121" s="60" t="n">
        <f aca="false">J121-R121</f>
        <v>2500</v>
      </c>
      <c r="T121" s="82"/>
      <c r="U121" s="82"/>
      <c r="V121" s="83"/>
      <c r="W121" s="79"/>
      <c r="X121" s="80"/>
      <c r="Y121" s="80"/>
      <c r="Z121" s="80"/>
      <c r="AA121" s="59" t="n">
        <f aca="false">SUM(T121:Z121)</f>
        <v>0</v>
      </c>
      <c r="AB121" s="60" t="n">
        <f aca="false">S121-AA121</f>
        <v>2500</v>
      </c>
      <c r="AC121" s="80"/>
      <c r="AD121" s="80"/>
      <c r="AE121" s="80"/>
      <c r="AF121" s="80"/>
      <c r="AG121" s="80"/>
      <c r="AH121" s="80"/>
      <c r="AI121" s="83"/>
      <c r="AJ121" s="65" t="n">
        <f aca="false">SUM(AC121:AI121)</f>
        <v>0</v>
      </c>
      <c r="AK121" s="60" t="n">
        <f aca="false">AB121-AJ121</f>
        <v>2500</v>
      </c>
      <c r="AL121" s="80"/>
      <c r="AM121" s="80"/>
      <c r="AN121" s="80"/>
      <c r="AO121" s="80"/>
      <c r="AP121" s="75"/>
      <c r="AQ121" s="75"/>
      <c r="AR121" s="75"/>
      <c r="AS121" s="60" t="n">
        <f aca="false">SUM(AL121:AR121)</f>
        <v>0</v>
      </c>
      <c r="AT121" s="60" t="n">
        <f aca="false">AK121-AS121</f>
        <v>2500</v>
      </c>
    </row>
    <row r="122" customFormat="false" ht="13.5" hidden="false" customHeight="true" outlineLevel="0" collapsed="false">
      <c r="A122" s="76"/>
      <c r="B122" s="77" t="s">
        <v>132</v>
      </c>
      <c r="C122" s="77" t="s">
        <v>14</v>
      </c>
      <c r="D122" s="78" t="n">
        <v>118.8</v>
      </c>
      <c r="E122" s="56" t="n">
        <v>8.69</v>
      </c>
      <c r="F122" s="79"/>
      <c r="G122" s="80"/>
      <c r="H122" s="80"/>
      <c r="I122" s="59" t="n">
        <f aca="false">SUM(F122:H122)</f>
        <v>0</v>
      </c>
      <c r="J122" s="60" t="n">
        <f aca="false">E122-I122</f>
        <v>8.69</v>
      </c>
      <c r="K122" s="80"/>
      <c r="L122" s="81"/>
      <c r="M122" s="82"/>
      <c r="N122" s="82"/>
      <c r="O122" s="82"/>
      <c r="P122" s="82"/>
      <c r="Q122" s="82"/>
      <c r="R122" s="59" t="n">
        <f aca="false">SUM(K122:Q122)</f>
        <v>0</v>
      </c>
      <c r="S122" s="60" t="n">
        <f aca="false">J122-R122</f>
        <v>8.69</v>
      </c>
      <c r="T122" s="82"/>
      <c r="U122" s="82"/>
      <c r="V122" s="83"/>
      <c r="W122" s="79"/>
      <c r="X122" s="80"/>
      <c r="Y122" s="80"/>
      <c r="Z122" s="80"/>
      <c r="AA122" s="59" t="n">
        <f aca="false">SUM(T122:Z122)</f>
        <v>0</v>
      </c>
      <c r="AB122" s="60" t="n">
        <f aca="false">S122-AA122</f>
        <v>8.69</v>
      </c>
      <c r="AC122" s="80"/>
      <c r="AD122" s="80"/>
      <c r="AE122" s="80"/>
      <c r="AF122" s="80"/>
      <c r="AG122" s="80"/>
      <c r="AH122" s="80"/>
      <c r="AI122" s="83"/>
      <c r="AJ122" s="65" t="n">
        <f aca="false">SUM(AC122:AI122)</f>
        <v>0</v>
      </c>
      <c r="AK122" s="60" t="n">
        <f aca="false">AB122-AJ122</f>
        <v>8.69</v>
      </c>
      <c r="AL122" s="80"/>
      <c r="AM122" s="80"/>
      <c r="AN122" s="80"/>
      <c r="AO122" s="80"/>
      <c r="AP122" s="75"/>
      <c r="AQ122" s="75"/>
      <c r="AR122" s="75"/>
      <c r="AS122" s="60" t="n">
        <f aca="false">SUM(AL122:AR122)</f>
        <v>0</v>
      </c>
      <c r="AT122" s="60" t="n">
        <f aca="false">AK122-AS122</f>
        <v>8.69</v>
      </c>
    </row>
    <row r="123" customFormat="false" ht="13.5" hidden="false" customHeight="true" outlineLevel="0" collapsed="false">
      <c r="A123" s="76"/>
      <c r="B123" s="77" t="s">
        <v>133</v>
      </c>
      <c r="C123" s="77" t="s">
        <v>14</v>
      </c>
      <c r="D123" s="78" t="n">
        <v>419.100168067227</v>
      </c>
      <c r="E123" s="56" t="n">
        <v>88</v>
      </c>
      <c r="F123" s="79"/>
      <c r="G123" s="80" t="n">
        <v>11</v>
      </c>
      <c r="H123" s="80"/>
      <c r="I123" s="59" t="n">
        <f aca="false">SUM(F123:H123)</f>
        <v>11</v>
      </c>
      <c r="J123" s="60" t="n">
        <f aca="false">E123-I123</f>
        <v>77</v>
      </c>
      <c r="K123" s="80"/>
      <c r="L123" s="81"/>
      <c r="M123" s="82" t="n">
        <v>11</v>
      </c>
      <c r="N123" s="82"/>
      <c r="O123" s="82" t="n">
        <v>11</v>
      </c>
      <c r="P123" s="82"/>
      <c r="Q123" s="82"/>
      <c r="R123" s="59" t="n">
        <f aca="false">SUM(K123:Q123)</f>
        <v>22</v>
      </c>
      <c r="S123" s="60" t="n">
        <f aca="false">J123-R123</f>
        <v>55</v>
      </c>
      <c r="T123" s="82"/>
      <c r="U123" s="82" t="n">
        <v>11</v>
      </c>
      <c r="V123" s="83"/>
      <c r="W123" s="79"/>
      <c r="X123" s="80" t="n">
        <v>11</v>
      </c>
      <c r="Y123" s="80"/>
      <c r="Z123" s="80"/>
      <c r="AA123" s="59" t="n">
        <f aca="false">SUM(T123:Z123)</f>
        <v>22</v>
      </c>
      <c r="AB123" s="60" t="n">
        <f aca="false">S123-AA123</f>
        <v>33</v>
      </c>
      <c r="AC123" s="80"/>
      <c r="AD123" s="80" t="n">
        <v>22</v>
      </c>
      <c r="AE123" s="80"/>
      <c r="AF123" s="80"/>
      <c r="AG123" s="80"/>
      <c r="AH123" s="80"/>
      <c r="AI123" s="83"/>
      <c r="AJ123" s="65" t="n">
        <f aca="false">SUM(AC123:AI123)</f>
        <v>22</v>
      </c>
      <c r="AK123" s="60" t="n">
        <f aca="false">AB123-AJ123</f>
        <v>11</v>
      </c>
      <c r="AL123" s="80"/>
      <c r="AM123" s="80"/>
      <c r="AN123" s="80"/>
      <c r="AO123" s="80"/>
      <c r="AP123" s="75"/>
      <c r="AQ123" s="75"/>
      <c r="AR123" s="75"/>
      <c r="AS123" s="60" t="n">
        <f aca="false">SUM(AL123:AR123)</f>
        <v>0</v>
      </c>
      <c r="AT123" s="60" t="n">
        <f aca="false">AK123-AS123</f>
        <v>11</v>
      </c>
    </row>
    <row r="124" customFormat="false" ht="13.5" hidden="false" customHeight="true" outlineLevel="0" collapsed="false">
      <c r="A124" s="76"/>
      <c r="B124" s="77" t="s">
        <v>134</v>
      </c>
      <c r="C124" s="77" t="s">
        <v>14</v>
      </c>
      <c r="D124" s="78" t="n">
        <v>206.8</v>
      </c>
      <c r="E124" s="56" t="n">
        <v>33</v>
      </c>
      <c r="F124" s="79"/>
      <c r="G124" s="80"/>
      <c r="H124" s="80"/>
      <c r="I124" s="59" t="n">
        <f aca="false">SUM(F124:H124)</f>
        <v>0</v>
      </c>
      <c r="J124" s="60" t="n">
        <f aca="false">E124-I124</f>
        <v>33</v>
      </c>
      <c r="K124" s="80"/>
      <c r="L124" s="81"/>
      <c r="M124" s="82"/>
      <c r="N124" s="82"/>
      <c r="O124" s="82"/>
      <c r="P124" s="82"/>
      <c r="Q124" s="82"/>
      <c r="R124" s="59" t="n">
        <f aca="false">SUM(K124:Q124)</f>
        <v>0</v>
      </c>
      <c r="S124" s="60" t="n">
        <f aca="false">J124-R124</f>
        <v>33</v>
      </c>
      <c r="T124" s="82"/>
      <c r="U124" s="82"/>
      <c r="V124" s="83"/>
      <c r="W124" s="79"/>
      <c r="X124" s="80"/>
      <c r="Y124" s="80"/>
      <c r="Z124" s="80"/>
      <c r="AA124" s="59" t="n">
        <f aca="false">SUM(T124:Z124)</f>
        <v>0</v>
      </c>
      <c r="AB124" s="60" t="n">
        <f aca="false">S124-AA124</f>
        <v>33</v>
      </c>
      <c r="AC124" s="80"/>
      <c r="AD124" s="80"/>
      <c r="AE124" s="80"/>
      <c r="AF124" s="80"/>
      <c r="AG124" s="80"/>
      <c r="AH124" s="80"/>
      <c r="AI124" s="83"/>
      <c r="AJ124" s="65" t="n">
        <f aca="false">SUM(AC124:AI124)</f>
        <v>0</v>
      </c>
      <c r="AK124" s="60" t="n">
        <f aca="false">AB124-AJ124</f>
        <v>33</v>
      </c>
      <c r="AL124" s="80"/>
      <c r="AM124" s="80"/>
      <c r="AN124" s="80"/>
      <c r="AO124" s="80"/>
      <c r="AP124" s="75"/>
      <c r="AQ124" s="75"/>
      <c r="AR124" s="75"/>
      <c r="AS124" s="60" t="n">
        <f aca="false">SUM(AL124:AR124)</f>
        <v>0</v>
      </c>
      <c r="AT124" s="60" t="n">
        <f aca="false">AK124-AS124</f>
        <v>33</v>
      </c>
    </row>
    <row r="125" customFormat="false" ht="13.5" hidden="false" customHeight="true" outlineLevel="0" collapsed="false">
      <c r="A125" s="76"/>
      <c r="B125" s="77" t="s">
        <v>135</v>
      </c>
      <c r="C125" s="77" t="s">
        <v>14</v>
      </c>
      <c r="D125" s="78" t="n">
        <v>191.4</v>
      </c>
      <c r="E125" s="56" t="n">
        <v>86.5</v>
      </c>
      <c r="F125" s="79"/>
      <c r="G125" s="80"/>
      <c r="H125" s="80"/>
      <c r="I125" s="59" t="n">
        <f aca="false">SUM(F125:H125)</f>
        <v>0</v>
      </c>
      <c r="J125" s="60" t="n">
        <f aca="false">E125-I125</f>
        <v>86.5</v>
      </c>
      <c r="K125" s="80"/>
      <c r="L125" s="81"/>
      <c r="M125" s="82"/>
      <c r="N125" s="82"/>
      <c r="O125" s="82"/>
      <c r="P125" s="82"/>
      <c r="Q125" s="82"/>
      <c r="R125" s="59" t="n">
        <f aca="false">SUM(K125:Q125)</f>
        <v>0</v>
      </c>
      <c r="S125" s="60" t="n">
        <f aca="false">J125-R125</f>
        <v>86.5</v>
      </c>
      <c r="T125" s="82"/>
      <c r="U125" s="82"/>
      <c r="V125" s="83"/>
      <c r="W125" s="79"/>
      <c r="X125" s="80"/>
      <c r="Y125" s="80"/>
      <c r="Z125" s="80"/>
      <c r="AA125" s="59" t="n">
        <f aca="false">SUM(T125:Z125)</f>
        <v>0</v>
      </c>
      <c r="AB125" s="60" t="n">
        <f aca="false">S125-AA125</f>
        <v>86.5</v>
      </c>
      <c r="AC125" s="80"/>
      <c r="AD125" s="80"/>
      <c r="AE125" s="80"/>
      <c r="AF125" s="80"/>
      <c r="AG125" s="80"/>
      <c r="AH125" s="80"/>
      <c r="AI125" s="83"/>
      <c r="AJ125" s="65" t="n">
        <f aca="false">SUM(AC125:AI125)</f>
        <v>0</v>
      </c>
      <c r="AK125" s="60" t="n">
        <f aca="false">AB125-AJ125</f>
        <v>86.5</v>
      </c>
      <c r="AL125" s="80"/>
      <c r="AM125" s="80"/>
      <c r="AN125" s="80"/>
      <c r="AO125" s="80"/>
      <c r="AP125" s="75"/>
      <c r="AQ125" s="75"/>
      <c r="AR125" s="75"/>
      <c r="AS125" s="60" t="n">
        <f aca="false">SUM(AL125:AR125)</f>
        <v>0</v>
      </c>
      <c r="AT125" s="60" t="n">
        <f aca="false">AK125-AS125</f>
        <v>86.5</v>
      </c>
    </row>
    <row r="126" customFormat="false" ht="13.5" hidden="false" customHeight="true" outlineLevel="0" collapsed="false">
      <c r="A126" s="76"/>
      <c r="B126" s="77" t="s">
        <v>136</v>
      </c>
      <c r="C126" s="77" t="s">
        <v>14</v>
      </c>
      <c r="D126" s="78" t="n">
        <v>490.6</v>
      </c>
      <c r="E126" s="56" t="n">
        <v>20.32</v>
      </c>
      <c r="F126" s="79" t="n">
        <v>3.9</v>
      </c>
      <c r="G126" s="80"/>
      <c r="H126" s="80"/>
      <c r="I126" s="59" t="n">
        <f aca="false">SUM(F126:H126)</f>
        <v>3.9</v>
      </c>
      <c r="J126" s="60" t="n">
        <f aca="false">E126-I126</f>
        <v>16.42</v>
      </c>
      <c r="K126" s="80"/>
      <c r="L126" s="81"/>
      <c r="M126" s="82"/>
      <c r="N126" s="82"/>
      <c r="O126" s="82"/>
      <c r="P126" s="82"/>
      <c r="Q126" s="82"/>
      <c r="R126" s="59" t="n">
        <f aca="false">SUM(K126:Q126)</f>
        <v>0</v>
      </c>
      <c r="S126" s="60" t="n">
        <f aca="false">J126-R126</f>
        <v>16.42</v>
      </c>
      <c r="T126" s="82"/>
      <c r="U126" s="82"/>
      <c r="V126" s="83"/>
      <c r="W126" s="79"/>
      <c r="X126" s="80"/>
      <c r="Y126" s="80"/>
      <c r="Z126" s="80" t="n">
        <v>7</v>
      </c>
      <c r="AA126" s="59" t="n">
        <f aca="false">SUM(T126:Z126)</f>
        <v>7</v>
      </c>
      <c r="AB126" s="60" t="n">
        <f aca="false">S126-AA126</f>
        <v>9.42</v>
      </c>
      <c r="AC126" s="80"/>
      <c r="AD126" s="80"/>
      <c r="AE126" s="80"/>
      <c r="AF126" s="80"/>
      <c r="AG126" s="80"/>
      <c r="AH126" s="80"/>
      <c r="AI126" s="83"/>
      <c r="AJ126" s="65" t="n">
        <f aca="false">SUM(AC126:AI126)</f>
        <v>0</v>
      </c>
      <c r="AK126" s="60" t="n">
        <f aca="false">AB126-AJ126</f>
        <v>9.42</v>
      </c>
      <c r="AL126" s="80"/>
      <c r="AM126" s="80"/>
      <c r="AN126" s="80"/>
      <c r="AO126" s="80"/>
      <c r="AP126" s="75"/>
      <c r="AQ126" s="75"/>
      <c r="AR126" s="75"/>
      <c r="AS126" s="60" t="n">
        <f aca="false">SUM(AL126:AR126)</f>
        <v>0</v>
      </c>
      <c r="AT126" s="60" t="n">
        <f aca="false">AK126-AS126</f>
        <v>9.42</v>
      </c>
    </row>
    <row r="127" customFormat="false" ht="13.5" hidden="false" customHeight="true" outlineLevel="0" collapsed="false">
      <c r="A127" s="76"/>
      <c r="B127" s="77" t="s">
        <v>137</v>
      </c>
      <c r="C127" s="77" t="s">
        <v>14</v>
      </c>
      <c r="D127" s="78" t="n">
        <v>352</v>
      </c>
      <c r="E127" s="56" t="n">
        <v>55</v>
      </c>
      <c r="F127" s="79"/>
      <c r="G127" s="80"/>
      <c r="H127" s="80"/>
      <c r="I127" s="59" t="n">
        <f aca="false">SUM(F127:H127)</f>
        <v>0</v>
      </c>
      <c r="J127" s="60" t="n">
        <f aca="false">E127-I127</f>
        <v>55</v>
      </c>
      <c r="K127" s="80"/>
      <c r="L127" s="81"/>
      <c r="M127" s="82"/>
      <c r="N127" s="82"/>
      <c r="O127" s="82"/>
      <c r="P127" s="82"/>
      <c r="Q127" s="82"/>
      <c r="R127" s="59" t="n">
        <f aca="false">SUM(K127:Q127)</f>
        <v>0</v>
      </c>
      <c r="S127" s="60" t="n">
        <f aca="false">J127-R127</f>
        <v>55</v>
      </c>
      <c r="T127" s="82"/>
      <c r="U127" s="82"/>
      <c r="V127" s="83"/>
      <c r="W127" s="79"/>
      <c r="X127" s="80"/>
      <c r="Y127" s="80"/>
      <c r="Z127" s="80"/>
      <c r="AA127" s="59" t="n">
        <f aca="false">SUM(T127:Z127)</f>
        <v>0</v>
      </c>
      <c r="AB127" s="60" t="n">
        <f aca="false">S127-AA127</f>
        <v>55</v>
      </c>
      <c r="AC127" s="80"/>
      <c r="AD127" s="80"/>
      <c r="AE127" s="80"/>
      <c r="AF127" s="80"/>
      <c r="AG127" s="80"/>
      <c r="AH127" s="80"/>
      <c r="AI127" s="83"/>
      <c r="AJ127" s="65" t="n">
        <f aca="false">SUM(AC127:AI127)</f>
        <v>0</v>
      </c>
      <c r="AK127" s="60" t="n">
        <f aca="false">AB127-AJ127</f>
        <v>55</v>
      </c>
      <c r="AL127" s="80"/>
      <c r="AM127" s="80"/>
      <c r="AN127" s="80"/>
      <c r="AO127" s="80"/>
      <c r="AP127" s="75"/>
      <c r="AQ127" s="75"/>
      <c r="AR127" s="75"/>
      <c r="AS127" s="60" t="n">
        <f aca="false">SUM(AL127:AR127)</f>
        <v>0</v>
      </c>
      <c r="AT127" s="60" t="n">
        <f aca="false">AK127-AS127</f>
        <v>55</v>
      </c>
    </row>
    <row r="128" customFormat="false" ht="13.5" hidden="false" customHeight="true" outlineLevel="0" collapsed="false">
      <c r="A128" s="76"/>
      <c r="B128" s="77" t="s">
        <v>138</v>
      </c>
      <c r="C128" s="77" t="s">
        <v>16</v>
      </c>
      <c r="D128" s="78" t="n">
        <v>169.79</v>
      </c>
      <c r="E128" s="56" t="n">
        <v>36.72</v>
      </c>
      <c r="F128" s="79"/>
      <c r="G128" s="80"/>
      <c r="H128" s="80"/>
      <c r="I128" s="59" t="n">
        <f aca="false">SUM(F128:H128)</f>
        <v>0</v>
      </c>
      <c r="J128" s="60" t="n">
        <f aca="false">E128-I128</f>
        <v>36.72</v>
      </c>
      <c r="K128" s="80" t="n">
        <v>6.44</v>
      </c>
      <c r="L128" s="81" t="n">
        <v>6.4</v>
      </c>
      <c r="M128" s="82"/>
      <c r="N128" s="82" t="n">
        <v>13.8</v>
      </c>
      <c r="O128" s="82" t="n">
        <v>6.4</v>
      </c>
      <c r="P128" s="82"/>
      <c r="Q128" s="82" t="n">
        <v>3.68</v>
      </c>
      <c r="R128" s="59" t="n">
        <f aca="false">SUM(K128:Q128)</f>
        <v>36.72</v>
      </c>
      <c r="S128" s="60" t="n">
        <f aca="false">J128-R128+22.08</f>
        <v>22.08</v>
      </c>
      <c r="T128" s="82"/>
      <c r="U128" s="82"/>
      <c r="V128" s="83"/>
      <c r="W128" s="79"/>
      <c r="X128" s="80" t="n">
        <v>13.5</v>
      </c>
      <c r="Y128" s="80"/>
      <c r="Z128" s="80"/>
      <c r="AA128" s="59" t="n">
        <f aca="false">SUM(T128:Z128)</f>
        <v>13.5</v>
      </c>
      <c r="AB128" s="60" t="n">
        <f aca="false">S128-AA128</f>
        <v>8.58</v>
      </c>
      <c r="AC128" s="80" t="n">
        <v>8.28</v>
      </c>
      <c r="AD128" s="80"/>
      <c r="AE128" s="80"/>
      <c r="AF128" s="80"/>
      <c r="AG128" s="80"/>
      <c r="AH128" s="80"/>
      <c r="AI128" s="83"/>
      <c r="AJ128" s="65" t="n">
        <f aca="false">SUM(AC128:AI128)</f>
        <v>8.28</v>
      </c>
      <c r="AK128" s="60" t="n">
        <f aca="false">AB128-AJ128</f>
        <v>0.299999999999999</v>
      </c>
      <c r="AL128" s="80"/>
      <c r="AM128" s="80"/>
      <c r="AN128" s="80"/>
      <c r="AO128" s="80"/>
      <c r="AP128" s="75"/>
      <c r="AQ128" s="75"/>
      <c r="AR128" s="75"/>
      <c r="AS128" s="60" t="n">
        <f aca="false">SUM(AL128:AR128)</f>
        <v>0</v>
      </c>
      <c r="AT128" s="60" t="n">
        <f aca="false">AK128-AS128</f>
        <v>0.299999999999999</v>
      </c>
    </row>
    <row r="129" customFormat="false" ht="13.5" hidden="false" customHeight="true" outlineLevel="0" collapsed="false">
      <c r="A129" s="76"/>
      <c r="B129" s="77" t="s">
        <v>139</v>
      </c>
      <c r="C129" s="77" t="s">
        <v>14</v>
      </c>
      <c r="D129" s="78" t="n">
        <v>416.900074912602</v>
      </c>
      <c r="E129" s="56" t="n">
        <v>52.72</v>
      </c>
      <c r="F129" s="79"/>
      <c r="G129" s="80" t="n">
        <v>7.5</v>
      </c>
      <c r="H129" s="80"/>
      <c r="I129" s="59" t="n">
        <f aca="false">SUM(F129:H129)</f>
        <v>7.5</v>
      </c>
      <c r="J129" s="60" t="n">
        <f aca="false">E129-I129</f>
        <v>45.22</v>
      </c>
      <c r="K129" s="80"/>
      <c r="L129" s="81" t="n">
        <v>6.5</v>
      </c>
      <c r="M129" s="82"/>
      <c r="N129" s="82"/>
      <c r="O129" s="82"/>
      <c r="P129" s="82"/>
      <c r="Q129" s="82" t="n">
        <v>7.246</v>
      </c>
      <c r="R129" s="59" t="n">
        <f aca="false">SUM(K129:Q129)</f>
        <v>13.746</v>
      </c>
      <c r="S129" s="60" t="n">
        <f aca="false">J129-R129</f>
        <v>31.474</v>
      </c>
      <c r="T129" s="82"/>
      <c r="U129" s="82"/>
      <c r="V129" s="83"/>
      <c r="W129" s="79"/>
      <c r="X129" s="80" t="n">
        <v>9.1</v>
      </c>
      <c r="Y129" s="80"/>
      <c r="Z129" s="80"/>
      <c r="AA129" s="59" t="n">
        <f aca="false">SUM(T129:Z129)</f>
        <v>9.1</v>
      </c>
      <c r="AB129" s="60" t="n">
        <f aca="false">S129-AA129</f>
        <v>22.374</v>
      </c>
      <c r="AC129" s="80"/>
      <c r="AD129" s="80"/>
      <c r="AE129" s="80" t="n">
        <v>20</v>
      </c>
      <c r="AF129" s="80"/>
      <c r="AG129" s="80"/>
      <c r="AH129" s="80"/>
      <c r="AI129" s="83"/>
      <c r="AJ129" s="65" t="n">
        <f aca="false">SUM(AC129:AI129)</f>
        <v>20</v>
      </c>
      <c r="AK129" s="60" t="n">
        <f aca="false">AB129-AJ129</f>
        <v>2.374</v>
      </c>
      <c r="AL129" s="80"/>
      <c r="AM129" s="80"/>
      <c r="AN129" s="80"/>
      <c r="AO129" s="80"/>
      <c r="AP129" s="75"/>
      <c r="AQ129" s="75"/>
      <c r="AR129" s="75"/>
      <c r="AS129" s="60" t="n">
        <f aca="false">SUM(AL129:AR129)</f>
        <v>0</v>
      </c>
      <c r="AT129" s="60" t="n">
        <f aca="false">AK129-AS129</f>
        <v>2.374</v>
      </c>
    </row>
    <row r="130" customFormat="false" ht="13.5" hidden="false" customHeight="true" outlineLevel="0" collapsed="false">
      <c r="A130" s="76"/>
      <c r="B130" s="77" t="s">
        <v>140</v>
      </c>
      <c r="C130" s="77" t="s">
        <v>14</v>
      </c>
      <c r="D130" s="78" t="n">
        <v>63.8</v>
      </c>
      <c r="E130" s="56" t="n">
        <v>885</v>
      </c>
      <c r="F130" s="79"/>
      <c r="G130" s="80" t="n">
        <v>50</v>
      </c>
      <c r="H130" s="80"/>
      <c r="I130" s="59" t="n">
        <f aca="false">SUM(F130:H130)</f>
        <v>50</v>
      </c>
      <c r="J130" s="60" t="n">
        <f aca="false">E130-I130</f>
        <v>835</v>
      </c>
      <c r="K130" s="80"/>
      <c r="L130" s="81"/>
      <c r="M130" s="82"/>
      <c r="N130" s="82" t="n">
        <v>50</v>
      </c>
      <c r="O130" s="82"/>
      <c r="P130" s="82"/>
      <c r="Q130" s="82" t="n">
        <v>50</v>
      </c>
      <c r="R130" s="59" t="n">
        <f aca="false">SUM(K130:Q130)</f>
        <v>100</v>
      </c>
      <c r="S130" s="60" t="n">
        <f aca="false">J130-R130</f>
        <v>735</v>
      </c>
      <c r="T130" s="82"/>
      <c r="U130" s="82"/>
      <c r="V130" s="83"/>
      <c r="W130" s="79" t="n">
        <v>50</v>
      </c>
      <c r="X130" s="80"/>
      <c r="Y130" s="80"/>
      <c r="Z130" s="80" t="n">
        <v>50</v>
      </c>
      <c r="AA130" s="59" t="n">
        <f aca="false">SUM(T130:Z130)</f>
        <v>100</v>
      </c>
      <c r="AB130" s="60" t="n">
        <f aca="false">S130-AA130</f>
        <v>635</v>
      </c>
      <c r="AC130" s="80"/>
      <c r="AD130" s="80"/>
      <c r="AE130" s="80"/>
      <c r="AF130" s="80"/>
      <c r="AG130" s="80"/>
      <c r="AH130" s="80"/>
      <c r="AI130" s="83"/>
      <c r="AJ130" s="65" t="n">
        <f aca="false">SUM(AC130:AI130)</f>
        <v>0</v>
      </c>
      <c r="AK130" s="60" t="n">
        <f aca="false">AB130-AJ130</f>
        <v>635</v>
      </c>
      <c r="AL130" s="80"/>
      <c r="AM130" s="80"/>
      <c r="AN130" s="80"/>
      <c r="AO130" s="80"/>
      <c r="AP130" s="75"/>
      <c r="AQ130" s="75"/>
      <c r="AR130" s="75"/>
      <c r="AS130" s="60" t="n">
        <f aca="false">SUM(AL130:AR130)</f>
        <v>0</v>
      </c>
      <c r="AT130" s="60" t="n">
        <f aca="false">AK130-AS130</f>
        <v>635</v>
      </c>
    </row>
    <row r="131" customFormat="false" ht="13.5" hidden="false" customHeight="true" outlineLevel="0" collapsed="false">
      <c r="A131" s="76"/>
      <c r="B131" s="77" t="s">
        <v>141</v>
      </c>
      <c r="C131" s="77" t="s">
        <v>14</v>
      </c>
      <c r="D131" s="78" t="n">
        <v>231.92</v>
      </c>
      <c r="E131" s="56" t="n">
        <v>0.93</v>
      </c>
      <c r="F131" s="79"/>
      <c r="G131" s="80"/>
      <c r="H131" s="80"/>
      <c r="I131" s="59" t="n">
        <f aca="false">SUM(F131:H131)</f>
        <v>0</v>
      </c>
      <c r="J131" s="60" t="n">
        <f aca="false">E131-I131</f>
        <v>0.93</v>
      </c>
      <c r="K131" s="80"/>
      <c r="L131" s="81"/>
      <c r="M131" s="82"/>
      <c r="N131" s="82"/>
      <c r="O131" s="82"/>
      <c r="P131" s="82"/>
      <c r="Q131" s="82"/>
      <c r="R131" s="59" t="n">
        <f aca="false">SUM(K131:Q131)</f>
        <v>0</v>
      </c>
      <c r="S131" s="60" t="n">
        <f aca="false">J131-R131+3</f>
        <v>3.93</v>
      </c>
      <c r="T131" s="82"/>
      <c r="U131" s="82"/>
      <c r="V131" s="83" t="n">
        <v>1.25</v>
      </c>
      <c r="W131" s="79"/>
      <c r="X131" s="80"/>
      <c r="Y131" s="80"/>
      <c r="Z131" s="80"/>
      <c r="AA131" s="59" t="n">
        <f aca="false">SUM(T131:Z131)</f>
        <v>1.25</v>
      </c>
      <c r="AB131" s="60" t="n">
        <f aca="false">S131-AA131</f>
        <v>2.68</v>
      </c>
      <c r="AC131" s="80"/>
      <c r="AD131" s="80"/>
      <c r="AE131" s="80"/>
      <c r="AF131" s="80"/>
      <c r="AG131" s="80"/>
      <c r="AH131" s="80"/>
      <c r="AI131" s="83"/>
      <c r="AJ131" s="65" t="n">
        <f aca="false">SUM(AC131:AI131)</f>
        <v>0</v>
      </c>
      <c r="AK131" s="60" t="n">
        <f aca="false">AB131-AJ131</f>
        <v>2.68</v>
      </c>
      <c r="AL131" s="80"/>
      <c r="AM131" s="80"/>
      <c r="AN131" s="80"/>
      <c r="AO131" s="80"/>
      <c r="AP131" s="75"/>
      <c r="AQ131" s="75"/>
      <c r="AR131" s="75"/>
      <c r="AS131" s="60" t="n">
        <f aca="false">SUM(AL131:AR131)</f>
        <v>0</v>
      </c>
      <c r="AT131" s="60" t="n">
        <f aca="false">AK131-AS131</f>
        <v>2.68</v>
      </c>
    </row>
    <row r="132" customFormat="false" ht="13.5" hidden="false" customHeight="true" outlineLevel="0" collapsed="false">
      <c r="A132" s="76"/>
      <c r="B132" s="77" t="s">
        <v>142</v>
      </c>
      <c r="C132" s="77" t="s">
        <v>16</v>
      </c>
      <c r="D132" s="78" t="n">
        <v>291.63</v>
      </c>
      <c r="E132" s="56" t="n">
        <v>8</v>
      </c>
      <c r="F132" s="79"/>
      <c r="G132" s="80"/>
      <c r="H132" s="80"/>
      <c r="I132" s="59" t="n">
        <f aca="false">SUM(F132:H132)</f>
        <v>0</v>
      </c>
      <c r="J132" s="60" t="n">
        <f aca="false">E132-I132</f>
        <v>8</v>
      </c>
      <c r="K132" s="80"/>
      <c r="L132" s="81"/>
      <c r="M132" s="82"/>
      <c r="N132" s="82"/>
      <c r="O132" s="82" t="n">
        <v>4</v>
      </c>
      <c r="P132" s="82"/>
      <c r="Q132" s="82"/>
      <c r="R132" s="59" t="n">
        <f aca="false">SUM(K132:Q132)</f>
        <v>4</v>
      </c>
      <c r="S132" s="60" t="n">
        <f aca="false">J132-R132</f>
        <v>4</v>
      </c>
      <c r="T132" s="82"/>
      <c r="U132" s="82"/>
      <c r="V132" s="83"/>
      <c r="W132" s="79"/>
      <c r="X132" s="80" t="n">
        <v>1</v>
      </c>
      <c r="Y132" s="80"/>
      <c r="Z132" s="80"/>
      <c r="AA132" s="59" t="n">
        <f aca="false">SUM(T132:Z132)</f>
        <v>1</v>
      </c>
      <c r="AB132" s="60" t="n">
        <f aca="false">S132-AA132</f>
        <v>3</v>
      </c>
      <c r="AC132" s="80"/>
      <c r="AD132" s="80"/>
      <c r="AE132" s="80"/>
      <c r="AF132" s="80"/>
      <c r="AG132" s="80"/>
      <c r="AH132" s="80"/>
      <c r="AI132" s="83"/>
      <c r="AJ132" s="65" t="n">
        <f aca="false">SUM(AC132:AI132)</f>
        <v>0</v>
      </c>
      <c r="AK132" s="60" t="n">
        <f aca="false">AB132-AJ132</f>
        <v>3</v>
      </c>
      <c r="AL132" s="80"/>
      <c r="AM132" s="80"/>
      <c r="AN132" s="80"/>
      <c r="AO132" s="80"/>
      <c r="AP132" s="75"/>
      <c r="AQ132" s="75"/>
      <c r="AR132" s="75"/>
      <c r="AS132" s="60" t="n">
        <f aca="false">SUM(AL132:AR132)</f>
        <v>0</v>
      </c>
      <c r="AT132" s="60" t="n">
        <f aca="false">AK132-AS132</f>
        <v>3</v>
      </c>
    </row>
    <row r="133" customFormat="false" ht="13.5" hidden="false" customHeight="true" outlineLevel="0" collapsed="false">
      <c r="A133" s="76"/>
      <c r="B133" s="77" t="s">
        <v>143</v>
      </c>
      <c r="C133" s="77" t="s">
        <v>14</v>
      </c>
      <c r="D133" s="78" t="n">
        <v>724</v>
      </c>
      <c r="E133" s="56" t="n">
        <v>5.7</v>
      </c>
      <c r="F133" s="79"/>
      <c r="G133" s="80"/>
      <c r="H133" s="80"/>
      <c r="I133" s="59" t="n">
        <f aca="false">SUM(F133:H133)</f>
        <v>0</v>
      </c>
      <c r="J133" s="60" t="n">
        <f aca="false">E133-I133</f>
        <v>5.7</v>
      </c>
      <c r="K133" s="80"/>
      <c r="L133" s="81"/>
      <c r="M133" s="82"/>
      <c r="N133" s="82"/>
      <c r="O133" s="82"/>
      <c r="P133" s="82"/>
      <c r="Q133" s="82"/>
      <c r="R133" s="59" t="n">
        <f aca="false">SUM(K133:Q133)</f>
        <v>0</v>
      </c>
      <c r="S133" s="60" t="n">
        <f aca="false">J133-R133+7+3.6</f>
        <v>16.3</v>
      </c>
      <c r="T133" s="82"/>
      <c r="U133" s="82"/>
      <c r="V133" s="83"/>
      <c r="W133" s="79"/>
      <c r="X133" s="80"/>
      <c r="Y133" s="80"/>
      <c r="Z133" s="80"/>
      <c r="AA133" s="59" t="n">
        <f aca="false">SUM(T133:Z133)</f>
        <v>0</v>
      </c>
      <c r="AB133" s="60" t="n">
        <f aca="false">S133-AA133</f>
        <v>16.3</v>
      </c>
      <c r="AC133" s="80"/>
      <c r="AD133" s="80"/>
      <c r="AE133" s="80"/>
      <c r="AF133" s="80"/>
      <c r="AG133" s="80"/>
      <c r="AH133" s="80"/>
      <c r="AI133" s="83"/>
      <c r="AJ133" s="65" t="n">
        <f aca="false">SUM(AC133:AI133)</f>
        <v>0</v>
      </c>
      <c r="AK133" s="60" t="n">
        <f aca="false">AB133-AJ133</f>
        <v>16.3</v>
      </c>
      <c r="AL133" s="80"/>
      <c r="AM133" s="80"/>
      <c r="AN133" s="80"/>
      <c r="AO133" s="80"/>
      <c r="AP133" s="75"/>
      <c r="AQ133" s="75"/>
      <c r="AR133" s="75"/>
      <c r="AS133" s="60" t="n">
        <f aca="false">SUM(AL133:AR133)</f>
        <v>0</v>
      </c>
      <c r="AT133" s="60" t="n">
        <f aca="false">AK133-AS133</f>
        <v>16.3</v>
      </c>
    </row>
    <row r="134" customFormat="false" ht="13.5" hidden="false" customHeight="true" outlineLevel="0" collapsed="false">
      <c r="A134" s="76"/>
      <c r="B134" s="77" t="s">
        <v>144</v>
      </c>
      <c r="C134" s="77" t="s">
        <v>14</v>
      </c>
      <c r="D134" s="78" t="n">
        <v>201.73</v>
      </c>
      <c r="E134" s="56" t="n">
        <v>33.3</v>
      </c>
      <c r="F134" s="79" t="n">
        <v>3.6</v>
      </c>
      <c r="G134" s="80" t="n">
        <v>7.2</v>
      </c>
      <c r="H134" s="80"/>
      <c r="I134" s="59" t="n">
        <f aca="false">SUM(F134:H134)</f>
        <v>10.8</v>
      </c>
      <c r="J134" s="60" t="n">
        <f aca="false">E134-I134</f>
        <v>22.5</v>
      </c>
      <c r="K134" s="80" t="n">
        <v>3.6</v>
      </c>
      <c r="L134" s="81"/>
      <c r="M134" s="82" t="n">
        <v>3.6</v>
      </c>
      <c r="N134" s="82"/>
      <c r="O134" s="82" t="n">
        <v>3.6</v>
      </c>
      <c r="P134" s="82"/>
      <c r="Q134" s="82" t="n">
        <v>5.7</v>
      </c>
      <c r="R134" s="59" t="n">
        <f aca="false">SUM(K134:Q134)</f>
        <v>16.5</v>
      </c>
      <c r="S134" s="60" t="n">
        <f aca="false">J134-R134+20</f>
        <v>26</v>
      </c>
      <c r="T134" s="82"/>
      <c r="U134" s="82" t="n">
        <v>5</v>
      </c>
      <c r="V134" s="83" t="n">
        <v>5</v>
      </c>
      <c r="W134" s="79"/>
      <c r="X134" s="80" t="n">
        <v>6</v>
      </c>
      <c r="Y134" s="80"/>
      <c r="Z134" s="80"/>
      <c r="AA134" s="59" t="n">
        <f aca="false">SUM(T134:Z134)</f>
        <v>16</v>
      </c>
      <c r="AB134" s="60" t="n">
        <f aca="false">S134-AA134</f>
        <v>10</v>
      </c>
      <c r="AC134" s="80"/>
      <c r="AD134" s="80"/>
      <c r="AE134" s="80" t="n">
        <v>5</v>
      </c>
      <c r="AF134" s="80"/>
      <c r="AG134" s="80"/>
      <c r="AH134" s="80"/>
      <c r="AI134" s="83"/>
      <c r="AJ134" s="65" t="n">
        <f aca="false">SUM(AC134:AI134)</f>
        <v>5</v>
      </c>
      <c r="AK134" s="60" t="n">
        <f aca="false">AB134-AJ134</f>
        <v>5</v>
      </c>
      <c r="AL134" s="80"/>
      <c r="AM134" s="80"/>
      <c r="AN134" s="80"/>
      <c r="AO134" s="80"/>
      <c r="AP134" s="75"/>
      <c r="AQ134" s="75"/>
      <c r="AR134" s="75"/>
      <c r="AS134" s="60" t="n">
        <f aca="false">SUM(AL134:AR134)</f>
        <v>0</v>
      </c>
      <c r="AT134" s="60" t="n">
        <f aca="false">AK134-AS134</f>
        <v>5</v>
      </c>
    </row>
    <row r="135" customFormat="false" ht="13.5" hidden="false" customHeight="true" outlineLevel="0" collapsed="false">
      <c r="A135" s="76"/>
      <c r="B135" s="77" t="s">
        <v>145</v>
      </c>
      <c r="C135" s="77" t="s">
        <v>16</v>
      </c>
      <c r="D135" s="78" t="n">
        <v>218.42</v>
      </c>
      <c r="E135" s="56" t="n">
        <v>10</v>
      </c>
      <c r="F135" s="79"/>
      <c r="G135" s="80"/>
      <c r="H135" s="80"/>
      <c r="I135" s="59" t="n">
        <f aca="false">SUM(F135:H135)</f>
        <v>0</v>
      </c>
      <c r="J135" s="60" t="n">
        <f aca="false">E135-I135</f>
        <v>10</v>
      </c>
      <c r="K135" s="80"/>
      <c r="L135" s="81"/>
      <c r="M135" s="82"/>
      <c r="N135" s="82" t="n">
        <v>6</v>
      </c>
      <c r="O135" s="82"/>
      <c r="P135" s="82" t="n">
        <v>4</v>
      </c>
      <c r="Q135" s="82"/>
      <c r="R135" s="59" t="n">
        <f aca="false">SUM(K135:Q135)</f>
        <v>10</v>
      </c>
      <c r="S135" s="60" t="n">
        <f aca="false">J135-R135+12</f>
        <v>12</v>
      </c>
      <c r="T135" s="82"/>
      <c r="U135" s="82"/>
      <c r="V135" s="83"/>
      <c r="W135" s="79"/>
      <c r="X135" s="80"/>
      <c r="Y135" s="80"/>
      <c r="Z135" s="80"/>
      <c r="AA135" s="59" t="n">
        <f aca="false">SUM(T135:Z135)</f>
        <v>0</v>
      </c>
      <c r="AB135" s="60" t="n">
        <f aca="false">S135-AA135</f>
        <v>12</v>
      </c>
      <c r="AC135" s="80" t="n">
        <v>12</v>
      </c>
      <c r="AD135" s="80"/>
      <c r="AE135" s="80"/>
      <c r="AF135" s="80"/>
      <c r="AG135" s="80"/>
      <c r="AH135" s="80"/>
      <c r="AI135" s="83"/>
      <c r="AJ135" s="65" t="n">
        <f aca="false">SUM(AC135:AI135)</f>
        <v>12</v>
      </c>
      <c r="AK135" s="60" t="n">
        <f aca="false">AB135-AJ135</f>
        <v>0</v>
      </c>
      <c r="AL135" s="80"/>
      <c r="AM135" s="80"/>
      <c r="AN135" s="80"/>
      <c r="AO135" s="80"/>
      <c r="AP135" s="75"/>
      <c r="AQ135" s="75"/>
      <c r="AR135" s="75"/>
      <c r="AS135" s="60" t="n">
        <f aca="false">SUM(AL135:AR135)</f>
        <v>0</v>
      </c>
      <c r="AT135" s="60" t="n">
        <f aca="false">AK135-AS135</f>
        <v>0</v>
      </c>
    </row>
    <row r="136" customFormat="false" ht="13.5" hidden="false" customHeight="true" outlineLevel="0" collapsed="false">
      <c r="A136" s="76"/>
      <c r="B136" s="77" t="s">
        <v>146</v>
      </c>
      <c r="C136" s="77" t="s">
        <v>14</v>
      </c>
      <c r="D136" s="78" t="n">
        <v>90.6400336417157</v>
      </c>
      <c r="E136" s="56" t="n">
        <v>6</v>
      </c>
      <c r="F136" s="79"/>
      <c r="G136" s="80"/>
      <c r="H136" s="80"/>
      <c r="I136" s="59" t="n">
        <f aca="false">SUM(F136:H136)</f>
        <v>0</v>
      </c>
      <c r="J136" s="60" t="n">
        <f aca="false">E136-I136</f>
        <v>6</v>
      </c>
      <c r="K136" s="80"/>
      <c r="L136" s="81"/>
      <c r="M136" s="82"/>
      <c r="N136" s="82"/>
      <c r="O136" s="82"/>
      <c r="P136" s="82"/>
      <c r="Q136" s="82"/>
      <c r="R136" s="59" t="n">
        <f aca="false">SUM(K136:Q136)</f>
        <v>0</v>
      </c>
      <c r="S136" s="60" t="n">
        <f aca="false">J136-R136</f>
        <v>6</v>
      </c>
      <c r="T136" s="82"/>
      <c r="U136" s="82"/>
      <c r="V136" s="83"/>
      <c r="W136" s="79"/>
      <c r="X136" s="80"/>
      <c r="Y136" s="80"/>
      <c r="Z136" s="80"/>
      <c r="AA136" s="59" t="n">
        <f aca="false">SUM(T136:Z136)</f>
        <v>0</v>
      </c>
      <c r="AB136" s="60" t="n">
        <f aca="false">S136-AA136</f>
        <v>6</v>
      </c>
      <c r="AC136" s="80"/>
      <c r="AD136" s="80"/>
      <c r="AE136" s="80"/>
      <c r="AF136" s="80"/>
      <c r="AG136" s="80"/>
      <c r="AH136" s="80"/>
      <c r="AI136" s="83"/>
      <c r="AJ136" s="65" t="n">
        <f aca="false">SUM(AC136:AI136)</f>
        <v>0</v>
      </c>
      <c r="AK136" s="60" t="n">
        <f aca="false">AB136-AJ136</f>
        <v>6</v>
      </c>
      <c r="AL136" s="80"/>
      <c r="AM136" s="80"/>
      <c r="AN136" s="80"/>
      <c r="AO136" s="80"/>
      <c r="AP136" s="75"/>
      <c r="AQ136" s="75"/>
      <c r="AR136" s="75"/>
      <c r="AS136" s="60" t="n">
        <f aca="false">SUM(AL136:AR136)</f>
        <v>0</v>
      </c>
      <c r="AT136" s="60" t="n">
        <f aca="false">AK136-AS136</f>
        <v>6</v>
      </c>
    </row>
    <row r="137" customFormat="false" ht="13.5" hidden="false" customHeight="true" outlineLevel="0" collapsed="false">
      <c r="A137" s="76"/>
      <c r="B137" s="77" t="s">
        <v>147</v>
      </c>
      <c r="C137" s="77" t="s">
        <v>19</v>
      </c>
      <c r="D137" s="78" t="n">
        <v>31.12</v>
      </c>
      <c r="E137" s="56" t="n">
        <v>200</v>
      </c>
      <c r="F137" s="79"/>
      <c r="G137" s="80"/>
      <c r="H137" s="80"/>
      <c r="I137" s="59" t="n">
        <f aca="false">SUM(F137:H137)</f>
        <v>0</v>
      </c>
      <c r="J137" s="60" t="n">
        <f aca="false">E137-I137</f>
        <v>200</v>
      </c>
      <c r="K137" s="80"/>
      <c r="L137" s="81"/>
      <c r="M137" s="82"/>
      <c r="N137" s="82"/>
      <c r="O137" s="82"/>
      <c r="P137" s="82"/>
      <c r="Q137" s="82"/>
      <c r="R137" s="59" t="n">
        <f aca="false">SUM(K137:Q137)</f>
        <v>0</v>
      </c>
      <c r="S137" s="60" t="n">
        <f aca="false">J137-R137</f>
        <v>200</v>
      </c>
      <c r="T137" s="82"/>
      <c r="U137" s="82"/>
      <c r="V137" s="83"/>
      <c r="W137" s="79"/>
      <c r="X137" s="80"/>
      <c r="Y137" s="80"/>
      <c r="Z137" s="80"/>
      <c r="AA137" s="59" t="n">
        <f aca="false">SUM(T137:Z137)</f>
        <v>0</v>
      </c>
      <c r="AB137" s="60" t="n">
        <f aca="false">S137-AA137</f>
        <v>200</v>
      </c>
      <c r="AC137" s="80"/>
      <c r="AD137" s="80"/>
      <c r="AE137" s="80" t="n">
        <v>80</v>
      </c>
      <c r="AF137" s="80"/>
      <c r="AG137" s="80"/>
      <c r="AH137" s="80"/>
      <c r="AI137" s="83"/>
      <c r="AJ137" s="65" t="n">
        <f aca="false">SUM(AC137:AI137)</f>
        <v>80</v>
      </c>
      <c r="AK137" s="60" t="n">
        <f aca="false">AB137-AJ137</f>
        <v>120</v>
      </c>
      <c r="AL137" s="80"/>
      <c r="AM137" s="80"/>
      <c r="AN137" s="80"/>
      <c r="AO137" s="80"/>
      <c r="AP137" s="75"/>
      <c r="AQ137" s="75"/>
      <c r="AR137" s="75"/>
      <c r="AS137" s="60" t="n">
        <f aca="false">SUM(AL137:AR137)</f>
        <v>0</v>
      </c>
      <c r="AT137" s="60" t="n">
        <f aca="false">AK137-AS137</f>
        <v>120</v>
      </c>
    </row>
    <row r="138" customFormat="false" ht="13.5" hidden="false" customHeight="true" outlineLevel="0" collapsed="false">
      <c r="A138" s="76"/>
      <c r="B138" s="77" t="s">
        <v>148</v>
      </c>
      <c r="C138" s="77" t="s">
        <v>14</v>
      </c>
      <c r="D138" s="78" t="n">
        <v>125.517469560614</v>
      </c>
      <c r="E138" s="56" t="n">
        <v>11.05</v>
      </c>
      <c r="F138" s="79"/>
      <c r="G138" s="80"/>
      <c r="H138" s="80"/>
      <c r="I138" s="59" t="n">
        <f aca="false">SUM(F138:H138)</f>
        <v>0</v>
      </c>
      <c r="J138" s="60" t="n">
        <f aca="false">E138-I138</f>
        <v>11.05</v>
      </c>
      <c r="K138" s="80"/>
      <c r="L138" s="81"/>
      <c r="M138" s="82"/>
      <c r="N138" s="82"/>
      <c r="O138" s="82"/>
      <c r="P138" s="82"/>
      <c r="Q138" s="82"/>
      <c r="R138" s="59" t="n">
        <f aca="false">SUM(K138:Q138)</f>
        <v>0</v>
      </c>
      <c r="S138" s="60" t="n">
        <f aca="false">J138-R138</f>
        <v>11.05</v>
      </c>
      <c r="T138" s="82"/>
      <c r="U138" s="82"/>
      <c r="V138" s="83"/>
      <c r="W138" s="79"/>
      <c r="X138" s="80"/>
      <c r="Y138" s="80"/>
      <c r="Z138" s="80"/>
      <c r="AA138" s="59" t="n">
        <f aca="false">SUM(T138:Z138)</f>
        <v>0</v>
      </c>
      <c r="AB138" s="60" t="n">
        <f aca="false">S138-AA138</f>
        <v>11.05</v>
      </c>
      <c r="AC138" s="80"/>
      <c r="AD138" s="80"/>
      <c r="AE138" s="80"/>
      <c r="AF138" s="80"/>
      <c r="AG138" s="80"/>
      <c r="AH138" s="80"/>
      <c r="AI138" s="83"/>
      <c r="AJ138" s="65" t="n">
        <f aca="false">SUM(AC138:AI138)</f>
        <v>0</v>
      </c>
      <c r="AK138" s="60" t="n">
        <f aca="false">AB138-AJ138</f>
        <v>11.05</v>
      </c>
      <c r="AL138" s="80"/>
      <c r="AM138" s="80"/>
      <c r="AN138" s="80"/>
      <c r="AO138" s="80"/>
      <c r="AP138" s="75"/>
      <c r="AQ138" s="75"/>
      <c r="AR138" s="75"/>
      <c r="AS138" s="60" t="n">
        <f aca="false">SUM(AL138:AR138)</f>
        <v>0</v>
      </c>
      <c r="AT138" s="60" t="n">
        <f aca="false">AK138-AS138</f>
        <v>11.05</v>
      </c>
    </row>
    <row r="139" customFormat="false" ht="13.5" hidden="false" customHeight="true" outlineLevel="0" collapsed="false">
      <c r="A139" s="76"/>
      <c r="B139" s="77" t="s">
        <v>149</v>
      </c>
      <c r="C139" s="77" t="s">
        <v>14</v>
      </c>
      <c r="D139" s="78" t="n">
        <v>17.380043683182</v>
      </c>
      <c r="E139" s="56" t="n">
        <v>201</v>
      </c>
      <c r="F139" s="79"/>
      <c r="G139" s="80"/>
      <c r="H139" s="80"/>
      <c r="I139" s="59" t="n">
        <f aca="false">SUM(F139:H139)</f>
        <v>0</v>
      </c>
      <c r="J139" s="60" t="n">
        <f aca="false">E139-I139</f>
        <v>201</v>
      </c>
      <c r="K139" s="80"/>
      <c r="L139" s="81"/>
      <c r="M139" s="82"/>
      <c r="N139" s="82"/>
      <c r="O139" s="82"/>
      <c r="P139" s="82"/>
      <c r="Q139" s="82"/>
      <c r="R139" s="59" t="n">
        <f aca="false">SUM(K139:Q139)</f>
        <v>0</v>
      </c>
      <c r="S139" s="60" t="n">
        <f aca="false">J139-R139</f>
        <v>201</v>
      </c>
      <c r="T139" s="82"/>
      <c r="U139" s="82"/>
      <c r="V139" s="83" t="n">
        <v>50</v>
      </c>
      <c r="W139" s="79"/>
      <c r="X139" s="80"/>
      <c r="Y139" s="80"/>
      <c r="Z139" s="80"/>
      <c r="AA139" s="59" t="n">
        <f aca="false">SUM(T139:Z139)</f>
        <v>50</v>
      </c>
      <c r="AB139" s="60" t="n">
        <f aca="false">S139-AA139</f>
        <v>151</v>
      </c>
      <c r="AC139" s="80"/>
      <c r="AD139" s="80"/>
      <c r="AE139" s="80"/>
      <c r="AF139" s="80"/>
      <c r="AG139" s="80"/>
      <c r="AH139" s="80"/>
      <c r="AI139" s="83"/>
      <c r="AJ139" s="65" t="n">
        <f aca="false">SUM(AC139:AI139)</f>
        <v>0</v>
      </c>
      <c r="AK139" s="60" t="n">
        <f aca="false">AB139-AJ139</f>
        <v>151</v>
      </c>
      <c r="AL139" s="80"/>
      <c r="AM139" s="80"/>
      <c r="AN139" s="80"/>
      <c r="AO139" s="80"/>
      <c r="AP139" s="75"/>
      <c r="AQ139" s="75"/>
      <c r="AR139" s="75"/>
      <c r="AS139" s="60" t="n">
        <f aca="false">SUM(AL139:AR139)</f>
        <v>0</v>
      </c>
      <c r="AT139" s="60" t="n">
        <f aca="false">AK139-AS139</f>
        <v>151</v>
      </c>
    </row>
    <row r="140" customFormat="false" ht="13.5" hidden="false" customHeight="true" outlineLevel="0" collapsed="false">
      <c r="A140" s="76"/>
      <c r="B140" s="77" t="s">
        <v>150</v>
      </c>
      <c r="C140" s="77" t="s">
        <v>14</v>
      </c>
      <c r="D140" s="78" t="n">
        <v>504.9</v>
      </c>
      <c r="E140" s="56" t="n">
        <v>72.56</v>
      </c>
      <c r="F140" s="79"/>
      <c r="G140" s="80"/>
      <c r="H140" s="80" t="n">
        <v>2.504</v>
      </c>
      <c r="I140" s="59" t="n">
        <f aca="false">SUM(F140:H140)</f>
        <v>2.504</v>
      </c>
      <c r="J140" s="60" t="n">
        <f aca="false">E140-I140</f>
        <v>70.056</v>
      </c>
      <c r="K140" s="80"/>
      <c r="L140" s="81"/>
      <c r="M140" s="82"/>
      <c r="N140" s="82" t="n">
        <v>1.2</v>
      </c>
      <c r="O140" s="82" t="n">
        <v>1.6</v>
      </c>
      <c r="P140" s="82"/>
      <c r="Q140" s="82" t="n">
        <v>7</v>
      </c>
      <c r="R140" s="59" t="n">
        <f aca="false">SUM(K140:Q140)</f>
        <v>9.8</v>
      </c>
      <c r="S140" s="60" t="n">
        <f aca="false">J140-R140</f>
        <v>60.256</v>
      </c>
      <c r="T140" s="82" t="n">
        <v>5.2</v>
      </c>
      <c r="U140" s="82" t="n">
        <v>5.168</v>
      </c>
      <c r="V140" s="83"/>
      <c r="W140" s="79"/>
      <c r="X140" s="80"/>
      <c r="Y140" s="80"/>
      <c r="Z140" s="80" t="n">
        <v>20</v>
      </c>
      <c r="AA140" s="59" t="n">
        <f aca="false">SUM(T140:Z140)</f>
        <v>30.368</v>
      </c>
      <c r="AB140" s="60" t="n">
        <f aca="false">S140-AA140</f>
        <v>29.888</v>
      </c>
      <c r="AC140" s="80"/>
      <c r="AD140" s="80"/>
      <c r="AE140" s="80" t="n">
        <v>36</v>
      </c>
      <c r="AF140" s="80"/>
      <c r="AG140" s="80"/>
      <c r="AH140" s="80"/>
      <c r="AI140" s="83"/>
      <c r="AJ140" s="65" t="n">
        <f aca="false">SUM(AC140:AI140)</f>
        <v>36</v>
      </c>
      <c r="AK140" s="60" t="n">
        <f aca="false">AB140-AJ140</f>
        <v>-6.112</v>
      </c>
      <c r="AL140" s="80"/>
      <c r="AM140" s="80"/>
      <c r="AN140" s="80"/>
      <c r="AO140" s="80"/>
      <c r="AP140" s="75"/>
      <c r="AQ140" s="75"/>
      <c r="AR140" s="75"/>
      <c r="AS140" s="60" t="n">
        <f aca="false">SUM(AL140:AR140)</f>
        <v>0</v>
      </c>
      <c r="AT140" s="60" t="n">
        <f aca="false">AK140-AS140</f>
        <v>-6.112</v>
      </c>
    </row>
    <row r="141" customFormat="false" ht="13.5" hidden="false" customHeight="true" outlineLevel="0" collapsed="false">
      <c r="A141" s="76"/>
      <c r="B141" s="77" t="s">
        <v>151</v>
      </c>
      <c r="C141" s="77" t="s">
        <v>16</v>
      </c>
      <c r="D141" s="78" t="n">
        <v>71.320107398568</v>
      </c>
      <c r="E141" s="56" t="n">
        <v>95.2</v>
      </c>
      <c r="F141" s="79"/>
      <c r="G141" s="80" t="n">
        <v>2</v>
      </c>
      <c r="H141" s="80"/>
      <c r="I141" s="59" t="n">
        <f aca="false">SUM(F141:H141)</f>
        <v>2</v>
      </c>
      <c r="J141" s="60" t="n">
        <f aca="false">E141-I141</f>
        <v>93.2</v>
      </c>
      <c r="K141" s="80"/>
      <c r="L141" s="81"/>
      <c r="M141" s="82"/>
      <c r="N141" s="82"/>
      <c r="O141" s="82"/>
      <c r="P141" s="82"/>
      <c r="Q141" s="82"/>
      <c r="R141" s="59" t="n">
        <f aca="false">SUM(K141:Q141)</f>
        <v>0</v>
      </c>
      <c r="S141" s="60" t="n">
        <f aca="false">J141-R141</f>
        <v>93.2</v>
      </c>
      <c r="T141" s="82"/>
      <c r="U141" s="82"/>
      <c r="V141" s="83"/>
      <c r="W141" s="79" t="n">
        <v>6</v>
      </c>
      <c r="X141" s="80"/>
      <c r="Y141" s="80"/>
      <c r="Z141" s="80"/>
      <c r="AA141" s="59" t="n">
        <f aca="false">SUM(T141:Z141)</f>
        <v>6</v>
      </c>
      <c r="AB141" s="60" t="n">
        <f aca="false">S141-AA141</f>
        <v>87.2</v>
      </c>
      <c r="AC141" s="80"/>
      <c r="AD141" s="80"/>
      <c r="AE141" s="80"/>
      <c r="AF141" s="80"/>
      <c r="AG141" s="80"/>
      <c r="AH141" s="80"/>
      <c r="AI141" s="83"/>
      <c r="AJ141" s="65" t="n">
        <f aca="false">SUM(AC141:AI141)</f>
        <v>0</v>
      </c>
      <c r="AK141" s="60" t="n">
        <f aca="false">AB141-AJ141</f>
        <v>87.2</v>
      </c>
      <c r="AL141" s="80"/>
      <c r="AM141" s="80"/>
      <c r="AN141" s="80"/>
      <c r="AO141" s="80"/>
      <c r="AP141" s="75"/>
      <c r="AQ141" s="75"/>
      <c r="AR141" s="75"/>
      <c r="AS141" s="60" t="n">
        <f aca="false">SUM(AL141:AR141)</f>
        <v>0</v>
      </c>
      <c r="AT141" s="60" t="n">
        <f aca="false">AK141-AS141</f>
        <v>87.2</v>
      </c>
    </row>
    <row r="142" customFormat="false" ht="13.5" hidden="false" customHeight="true" outlineLevel="0" collapsed="false">
      <c r="A142" s="76"/>
      <c r="B142" s="77" t="s">
        <v>152</v>
      </c>
      <c r="C142" s="77" t="s">
        <v>23</v>
      </c>
      <c r="D142" s="78"/>
      <c r="E142" s="56" t="n">
        <v>9</v>
      </c>
      <c r="F142" s="79"/>
      <c r="G142" s="80"/>
      <c r="H142" s="80"/>
      <c r="I142" s="59" t="n">
        <f aca="false">SUM(F142:H142)</f>
        <v>0</v>
      </c>
      <c r="J142" s="60" t="n">
        <f aca="false">E142-I142</f>
        <v>9</v>
      </c>
      <c r="K142" s="80"/>
      <c r="L142" s="81"/>
      <c r="M142" s="82"/>
      <c r="N142" s="82"/>
      <c r="O142" s="82"/>
      <c r="P142" s="82"/>
      <c r="Q142" s="82"/>
      <c r="R142" s="59" t="n">
        <f aca="false">SUM(K142:Q142)</f>
        <v>0</v>
      </c>
      <c r="S142" s="60" t="n">
        <f aca="false">J142-R142</f>
        <v>9</v>
      </c>
      <c r="T142" s="82"/>
      <c r="U142" s="82"/>
      <c r="V142" s="83"/>
      <c r="W142" s="79" t="n">
        <v>2</v>
      </c>
      <c r="X142" s="80"/>
      <c r="Y142" s="80"/>
      <c r="Z142" s="80"/>
      <c r="AA142" s="59" t="n">
        <f aca="false">SUM(T142:Z142)</f>
        <v>2</v>
      </c>
      <c r="AB142" s="60" t="n">
        <f aca="false">S142-AA142</f>
        <v>7</v>
      </c>
      <c r="AC142" s="80"/>
      <c r="AD142" s="80"/>
      <c r="AE142" s="80"/>
      <c r="AF142" s="80"/>
      <c r="AG142" s="80"/>
      <c r="AH142" s="80"/>
      <c r="AI142" s="83"/>
      <c r="AJ142" s="65" t="n">
        <f aca="false">SUM(AC142:AI142)</f>
        <v>0</v>
      </c>
      <c r="AK142" s="60" t="n">
        <f aca="false">AB142-AJ142</f>
        <v>7</v>
      </c>
      <c r="AL142" s="80"/>
      <c r="AM142" s="80"/>
      <c r="AN142" s="80"/>
      <c r="AO142" s="80"/>
      <c r="AP142" s="75"/>
      <c r="AQ142" s="75"/>
      <c r="AR142" s="75"/>
      <c r="AS142" s="60" t="n">
        <f aca="false">SUM(AL142:AR142)</f>
        <v>0</v>
      </c>
      <c r="AT142" s="60" t="n">
        <f aca="false">AK142-AS142</f>
        <v>7</v>
      </c>
    </row>
    <row r="143" customFormat="false" ht="13.5" hidden="false" customHeight="true" outlineLevel="0" collapsed="false">
      <c r="A143" s="76"/>
      <c r="B143" s="77" t="s">
        <v>153</v>
      </c>
      <c r="C143" s="77" t="s">
        <v>14</v>
      </c>
      <c r="D143" s="78" t="n">
        <v>480.815812337098</v>
      </c>
      <c r="E143" s="56" t="n">
        <v>72.23</v>
      </c>
      <c r="F143" s="79"/>
      <c r="G143" s="80" t="n">
        <v>1.32</v>
      </c>
      <c r="H143" s="80"/>
      <c r="I143" s="59" t="n">
        <f aca="false">SUM(F143:H143)</f>
        <v>1.32</v>
      </c>
      <c r="J143" s="60" t="n">
        <f aca="false">E143-I143</f>
        <v>70.91</v>
      </c>
      <c r="K143" s="80"/>
      <c r="L143" s="81"/>
      <c r="M143" s="82"/>
      <c r="N143" s="82"/>
      <c r="O143" s="82"/>
      <c r="P143" s="82" t="n">
        <v>0.8</v>
      </c>
      <c r="Q143" s="82"/>
      <c r="R143" s="59" t="n">
        <f aca="false">SUM(K143:Q143)</f>
        <v>0.8</v>
      </c>
      <c r="S143" s="60" t="n">
        <f aca="false">J143-R143</f>
        <v>70.11</v>
      </c>
      <c r="T143" s="82"/>
      <c r="U143" s="82" t="n">
        <v>1</v>
      </c>
      <c r="V143" s="83"/>
      <c r="W143" s="79"/>
      <c r="X143" s="80"/>
      <c r="Y143" s="80"/>
      <c r="Z143" s="80"/>
      <c r="AA143" s="59" t="n">
        <f aca="false">SUM(T143:Z143)</f>
        <v>1</v>
      </c>
      <c r="AB143" s="60" t="n">
        <f aca="false">S143-AA143</f>
        <v>69.11</v>
      </c>
      <c r="AC143" s="80"/>
      <c r="AD143" s="80"/>
      <c r="AE143" s="80" t="n">
        <v>0.22</v>
      </c>
      <c r="AF143" s="80"/>
      <c r="AG143" s="80"/>
      <c r="AH143" s="80"/>
      <c r="AI143" s="83"/>
      <c r="AJ143" s="65" t="n">
        <f aca="false">SUM(AC143:AI143)</f>
        <v>0.22</v>
      </c>
      <c r="AK143" s="60" t="n">
        <f aca="false">AB143-AJ143</f>
        <v>68.89</v>
      </c>
      <c r="AL143" s="80"/>
      <c r="AM143" s="80"/>
      <c r="AN143" s="80"/>
      <c r="AO143" s="80"/>
      <c r="AP143" s="75"/>
      <c r="AQ143" s="75"/>
      <c r="AR143" s="75"/>
      <c r="AS143" s="60" t="n">
        <f aca="false">SUM(AL143:AR143)</f>
        <v>0</v>
      </c>
      <c r="AT143" s="60" t="n">
        <f aca="false">AK143-AS143</f>
        <v>68.89</v>
      </c>
    </row>
    <row r="144" customFormat="false" ht="16.5" hidden="false" customHeight="true" outlineLevel="0" collapsed="false">
      <c r="A144" s="76"/>
      <c r="B144" s="77" t="s">
        <v>154</v>
      </c>
      <c r="C144" s="77" t="s">
        <v>19</v>
      </c>
      <c r="D144" s="78" t="n">
        <v>0.91</v>
      </c>
      <c r="E144" s="56" t="n">
        <v>2100</v>
      </c>
      <c r="F144" s="79"/>
      <c r="G144" s="80"/>
      <c r="H144" s="80"/>
      <c r="I144" s="59" t="n">
        <f aca="false">SUM(F144:H144)</f>
        <v>0</v>
      </c>
      <c r="J144" s="60" t="n">
        <f aca="false">E144-I144</f>
        <v>2100</v>
      </c>
      <c r="K144" s="80"/>
      <c r="L144" s="81"/>
      <c r="M144" s="82"/>
      <c r="N144" s="82"/>
      <c r="O144" s="82"/>
      <c r="P144" s="82"/>
      <c r="Q144" s="82"/>
      <c r="R144" s="59" t="n">
        <f aca="false">SUM(K144:Q144)</f>
        <v>0</v>
      </c>
      <c r="S144" s="60" t="n">
        <f aca="false">J144-R144</f>
        <v>2100</v>
      </c>
      <c r="T144" s="82"/>
      <c r="U144" s="82"/>
      <c r="V144" s="83"/>
      <c r="W144" s="79"/>
      <c r="X144" s="80"/>
      <c r="Y144" s="80"/>
      <c r="Z144" s="80"/>
      <c r="AA144" s="59" t="n">
        <f aca="false">SUM(T144:Z144)</f>
        <v>0</v>
      </c>
      <c r="AB144" s="60" t="n">
        <f aca="false">S144-AA144</f>
        <v>2100</v>
      </c>
      <c r="AC144" s="80"/>
      <c r="AD144" s="80"/>
      <c r="AE144" s="80"/>
      <c r="AF144" s="80"/>
      <c r="AG144" s="80"/>
      <c r="AH144" s="80"/>
      <c r="AI144" s="83"/>
      <c r="AJ144" s="65" t="n">
        <f aca="false">SUM(AC144:AI144)</f>
        <v>0</v>
      </c>
      <c r="AK144" s="60" t="n">
        <f aca="false">AB144-AJ144</f>
        <v>2100</v>
      </c>
      <c r="AL144" s="80"/>
      <c r="AM144" s="80"/>
      <c r="AN144" s="80"/>
      <c r="AO144" s="80"/>
      <c r="AP144" s="75"/>
      <c r="AQ144" s="75"/>
      <c r="AR144" s="75"/>
      <c r="AS144" s="60" t="n">
        <f aca="false">SUM(AL144:AR144)</f>
        <v>0</v>
      </c>
      <c r="AT144" s="60" t="n">
        <f aca="false">AK144-AS144</f>
        <v>2100</v>
      </c>
    </row>
    <row r="145" customFormat="false" ht="13.5" hidden="false" customHeight="true" outlineLevel="0" collapsed="false">
      <c r="A145" s="76"/>
      <c r="B145" s="77" t="s">
        <v>155</v>
      </c>
      <c r="C145" s="77" t="s">
        <v>14</v>
      </c>
      <c r="D145" s="78" t="n">
        <v>187.55</v>
      </c>
      <c r="E145" s="56" t="n">
        <v>74</v>
      </c>
      <c r="F145" s="79"/>
      <c r="G145" s="80"/>
      <c r="H145" s="80"/>
      <c r="I145" s="59" t="n">
        <f aca="false">SUM(F145:H145)</f>
        <v>0</v>
      </c>
      <c r="J145" s="60" t="n">
        <f aca="false">E145-I145</f>
        <v>74</v>
      </c>
      <c r="K145" s="80"/>
      <c r="L145" s="81"/>
      <c r="M145" s="82"/>
      <c r="N145" s="82"/>
      <c r="O145" s="82"/>
      <c r="P145" s="82"/>
      <c r="Q145" s="82"/>
      <c r="R145" s="59" t="n">
        <f aca="false">SUM(K145:Q145)</f>
        <v>0</v>
      </c>
      <c r="S145" s="60" t="n">
        <f aca="false">J145-R145+20</f>
        <v>94</v>
      </c>
      <c r="T145" s="82"/>
      <c r="U145" s="82"/>
      <c r="V145" s="83"/>
      <c r="W145" s="79"/>
      <c r="X145" s="80"/>
      <c r="Y145" s="80"/>
      <c r="Z145" s="80"/>
      <c r="AA145" s="59" t="n">
        <f aca="false">SUM(T145:Z145)</f>
        <v>0</v>
      </c>
      <c r="AB145" s="60" t="n">
        <f aca="false">S145-AA145</f>
        <v>94</v>
      </c>
      <c r="AC145" s="80"/>
      <c r="AD145" s="80"/>
      <c r="AE145" s="80"/>
      <c r="AF145" s="80"/>
      <c r="AG145" s="80"/>
      <c r="AH145" s="80"/>
      <c r="AI145" s="83"/>
      <c r="AJ145" s="65" t="n">
        <f aca="false">SUM(AC145:AI145)</f>
        <v>0</v>
      </c>
      <c r="AK145" s="60" t="n">
        <f aca="false">AB145-AJ145</f>
        <v>94</v>
      </c>
      <c r="AL145" s="80"/>
      <c r="AM145" s="80"/>
      <c r="AN145" s="80"/>
      <c r="AO145" s="80"/>
      <c r="AP145" s="75"/>
      <c r="AQ145" s="75"/>
      <c r="AR145" s="75"/>
      <c r="AS145" s="60" t="n">
        <f aca="false">SUM(AL145:AR145)</f>
        <v>0</v>
      </c>
      <c r="AT145" s="60" t="n">
        <f aca="false">AK145-AS145</f>
        <v>94</v>
      </c>
    </row>
    <row r="146" customFormat="false" ht="13.5" hidden="false" customHeight="true" outlineLevel="0" collapsed="false">
      <c r="A146" s="76"/>
      <c r="B146" s="77" t="s">
        <v>156</v>
      </c>
      <c r="C146" s="77" t="s">
        <v>14</v>
      </c>
      <c r="D146" s="78" t="n">
        <v>358.599945028516</v>
      </c>
      <c r="E146" s="56" t="n">
        <v>26.75</v>
      </c>
      <c r="F146" s="79"/>
      <c r="G146" s="80"/>
      <c r="H146" s="80"/>
      <c r="I146" s="59" t="n">
        <f aca="false">SUM(F146:H146)</f>
        <v>0</v>
      </c>
      <c r="J146" s="60" t="n">
        <f aca="false">E146-I146</f>
        <v>26.75</v>
      </c>
      <c r="K146" s="80"/>
      <c r="L146" s="81"/>
      <c r="M146" s="82"/>
      <c r="N146" s="82"/>
      <c r="O146" s="82"/>
      <c r="P146" s="82"/>
      <c r="Q146" s="82"/>
      <c r="R146" s="59" t="n">
        <f aca="false">SUM(K146:Q146)</f>
        <v>0</v>
      </c>
      <c r="S146" s="60" t="n">
        <f aca="false">J146-R146</f>
        <v>26.75</v>
      </c>
      <c r="T146" s="82"/>
      <c r="U146" s="82"/>
      <c r="V146" s="83"/>
      <c r="W146" s="79"/>
      <c r="X146" s="80"/>
      <c r="Y146" s="80"/>
      <c r="Z146" s="80"/>
      <c r="AA146" s="59" t="n">
        <f aca="false">SUM(T146:Z146)</f>
        <v>0</v>
      </c>
      <c r="AB146" s="60" t="n">
        <f aca="false">S146-AA146</f>
        <v>26.75</v>
      </c>
      <c r="AC146" s="80"/>
      <c r="AD146" s="80"/>
      <c r="AE146" s="80"/>
      <c r="AF146" s="80"/>
      <c r="AG146" s="80"/>
      <c r="AH146" s="80"/>
      <c r="AI146" s="83"/>
      <c r="AJ146" s="65" t="n">
        <f aca="false">SUM(AC146:AI146)</f>
        <v>0</v>
      </c>
      <c r="AK146" s="60" t="n">
        <f aca="false">AB146-AJ146</f>
        <v>26.75</v>
      </c>
      <c r="AL146" s="80"/>
      <c r="AM146" s="80"/>
      <c r="AN146" s="80"/>
      <c r="AO146" s="80"/>
      <c r="AP146" s="75"/>
      <c r="AQ146" s="75"/>
      <c r="AR146" s="75"/>
      <c r="AS146" s="60" t="n">
        <f aca="false">SUM(AL146:AR146)</f>
        <v>0</v>
      </c>
      <c r="AT146" s="60" t="n">
        <f aca="false">AK146-AS146</f>
        <v>26.75</v>
      </c>
    </row>
    <row r="147" customFormat="false" ht="13.5" hidden="false" customHeight="true" outlineLevel="0" collapsed="false">
      <c r="A147" s="76"/>
      <c r="B147" s="77" t="s">
        <v>157</v>
      </c>
      <c r="C147" s="77" t="s">
        <v>14</v>
      </c>
      <c r="D147" s="78" t="n">
        <v>192.500269541779</v>
      </c>
      <c r="E147" s="56" t="n">
        <v>20</v>
      </c>
      <c r="F147" s="79"/>
      <c r="G147" s="80"/>
      <c r="H147" s="80"/>
      <c r="I147" s="59" t="n">
        <f aca="false">SUM(F147:H147)</f>
        <v>0</v>
      </c>
      <c r="J147" s="60" t="n">
        <f aca="false">E147-I147</f>
        <v>20</v>
      </c>
      <c r="K147" s="80"/>
      <c r="L147" s="81"/>
      <c r="M147" s="82"/>
      <c r="N147" s="82" t="n">
        <v>5</v>
      </c>
      <c r="O147" s="82"/>
      <c r="P147" s="82"/>
      <c r="Q147" s="82"/>
      <c r="R147" s="59" t="n">
        <f aca="false">SUM(K147:Q147)</f>
        <v>5</v>
      </c>
      <c r="S147" s="60" t="n">
        <f aca="false">J147-R147</f>
        <v>15</v>
      </c>
      <c r="T147" s="82"/>
      <c r="U147" s="82"/>
      <c r="V147" s="83"/>
      <c r="W147" s="79"/>
      <c r="X147" s="80"/>
      <c r="Y147" s="80"/>
      <c r="Z147" s="80"/>
      <c r="AA147" s="59" t="n">
        <f aca="false">SUM(T147:Z147)</f>
        <v>0</v>
      </c>
      <c r="AB147" s="60" t="n">
        <f aca="false">S147-AA147</f>
        <v>15</v>
      </c>
      <c r="AC147" s="80"/>
      <c r="AD147" s="80"/>
      <c r="AE147" s="80" t="n">
        <v>5</v>
      </c>
      <c r="AF147" s="80"/>
      <c r="AG147" s="80"/>
      <c r="AH147" s="80"/>
      <c r="AI147" s="83"/>
      <c r="AJ147" s="65" t="n">
        <f aca="false">SUM(AC147:AI147)</f>
        <v>5</v>
      </c>
      <c r="AK147" s="60" t="n">
        <f aca="false">AB147-AJ147</f>
        <v>10</v>
      </c>
      <c r="AL147" s="80"/>
      <c r="AM147" s="80"/>
      <c r="AN147" s="80"/>
      <c r="AO147" s="80"/>
      <c r="AP147" s="75"/>
      <c r="AQ147" s="75"/>
      <c r="AR147" s="75"/>
      <c r="AS147" s="60" t="n">
        <f aca="false">SUM(AL147:AR147)</f>
        <v>0</v>
      </c>
      <c r="AT147" s="60" t="n">
        <f aca="false">AK147-AS147</f>
        <v>10</v>
      </c>
    </row>
    <row r="148" customFormat="false" ht="13.5" hidden="false" customHeight="true" outlineLevel="0" collapsed="false">
      <c r="A148" s="76"/>
      <c r="B148" s="77" t="s">
        <v>158</v>
      </c>
      <c r="C148" s="77" t="s">
        <v>14</v>
      </c>
      <c r="D148" s="78" t="n">
        <v>308</v>
      </c>
      <c r="E148" s="56" t="n">
        <v>29.85</v>
      </c>
      <c r="F148" s="79"/>
      <c r="G148" s="80"/>
      <c r="H148" s="80"/>
      <c r="I148" s="59" t="n">
        <f aca="false">SUM(F148:H148)</f>
        <v>0</v>
      </c>
      <c r="J148" s="60" t="n">
        <f aca="false">E148-I148</f>
        <v>29.85</v>
      </c>
      <c r="K148" s="80"/>
      <c r="L148" s="81"/>
      <c r="M148" s="82"/>
      <c r="N148" s="82"/>
      <c r="O148" s="82"/>
      <c r="P148" s="82"/>
      <c r="Q148" s="82"/>
      <c r="R148" s="59" t="n">
        <f aca="false">SUM(K148:Q148)</f>
        <v>0</v>
      </c>
      <c r="S148" s="60" t="n">
        <f aca="false">J148-R148</f>
        <v>29.85</v>
      </c>
      <c r="T148" s="82"/>
      <c r="U148" s="82"/>
      <c r="V148" s="83" t="n">
        <v>5</v>
      </c>
      <c r="W148" s="79"/>
      <c r="X148" s="80"/>
      <c r="Y148" s="80"/>
      <c r="Z148" s="80"/>
      <c r="AA148" s="59" t="n">
        <f aca="false">SUM(T148:Z148)</f>
        <v>5</v>
      </c>
      <c r="AB148" s="60" t="n">
        <f aca="false">S148-AA148</f>
        <v>24.85</v>
      </c>
      <c r="AC148" s="80"/>
      <c r="AD148" s="80"/>
      <c r="AE148" s="80"/>
      <c r="AF148" s="80"/>
      <c r="AG148" s="80"/>
      <c r="AH148" s="80"/>
      <c r="AI148" s="83"/>
      <c r="AJ148" s="65" t="n">
        <f aca="false">SUM(AC148:AI148)</f>
        <v>0</v>
      </c>
      <c r="AK148" s="60" t="n">
        <f aca="false">AB148-AJ148</f>
        <v>24.85</v>
      </c>
      <c r="AL148" s="80"/>
      <c r="AM148" s="80"/>
      <c r="AN148" s="80"/>
      <c r="AO148" s="80"/>
      <c r="AP148" s="75"/>
      <c r="AQ148" s="75"/>
      <c r="AR148" s="75"/>
      <c r="AS148" s="60" t="n">
        <f aca="false">SUM(AL148:AR148)</f>
        <v>0</v>
      </c>
      <c r="AT148" s="60" t="n">
        <f aca="false">AK148-AS148</f>
        <v>24.85</v>
      </c>
    </row>
    <row r="149" customFormat="false" ht="13.5" hidden="false" customHeight="true" outlineLevel="0" collapsed="false">
      <c r="A149" s="76"/>
      <c r="B149" s="77" t="s">
        <v>159</v>
      </c>
      <c r="C149" s="77" t="s">
        <v>14</v>
      </c>
      <c r="D149" s="78" t="n">
        <v>192.5</v>
      </c>
      <c r="E149" s="56" t="n">
        <v>-3.5527136788005E-015</v>
      </c>
      <c r="F149" s="79"/>
      <c r="G149" s="80"/>
      <c r="H149" s="80"/>
      <c r="I149" s="59" t="n">
        <f aca="false">SUM(F149:H149)</f>
        <v>0</v>
      </c>
      <c r="J149" s="60" t="n">
        <f aca="false">E149-I149</f>
        <v>-3.5527136788005E-015</v>
      </c>
      <c r="K149" s="80"/>
      <c r="L149" s="81"/>
      <c r="M149" s="82"/>
      <c r="N149" s="82"/>
      <c r="O149" s="82"/>
      <c r="P149" s="82"/>
      <c r="Q149" s="82"/>
      <c r="R149" s="59" t="n">
        <f aca="false">SUM(K149:Q149)</f>
        <v>0</v>
      </c>
      <c r="S149" s="60" t="n">
        <f aca="false">J149-R149</f>
        <v>-3.5527136788005E-015</v>
      </c>
      <c r="T149" s="82"/>
      <c r="U149" s="82"/>
      <c r="V149" s="83"/>
      <c r="W149" s="79"/>
      <c r="X149" s="80"/>
      <c r="Y149" s="80"/>
      <c r="Z149" s="80"/>
      <c r="AA149" s="59" t="n">
        <f aca="false">SUM(T149:Z149)</f>
        <v>0</v>
      </c>
      <c r="AB149" s="60" t="n">
        <f aca="false">S149-AA149</f>
        <v>-3.5527136788005E-015</v>
      </c>
      <c r="AC149" s="80"/>
      <c r="AD149" s="80"/>
      <c r="AE149" s="80"/>
      <c r="AF149" s="80"/>
      <c r="AG149" s="80"/>
      <c r="AH149" s="80"/>
      <c r="AI149" s="83"/>
      <c r="AJ149" s="65" t="n">
        <f aca="false">SUM(AC149:AI149)</f>
        <v>0</v>
      </c>
      <c r="AK149" s="60" t="n">
        <f aca="false">AB149-AJ149</f>
        <v>-3.5527136788005E-015</v>
      </c>
      <c r="AL149" s="80"/>
      <c r="AM149" s="80"/>
      <c r="AN149" s="80"/>
      <c r="AO149" s="80"/>
      <c r="AP149" s="75"/>
      <c r="AQ149" s="75"/>
      <c r="AR149" s="75"/>
      <c r="AS149" s="60" t="n">
        <f aca="false">SUM(AL149:AR149)</f>
        <v>0</v>
      </c>
      <c r="AT149" s="60" t="n">
        <f aca="false">AK149-AS149</f>
        <v>-3.5527136788005E-015</v>
      </c>
    </row>
    <row r="150" customFormat="false" ht="13.5" hidden="false" customHeight="true" outlineLevel="0" collapsed="false">
      <c r="A150" s="76"/>
      <c r="B150" s="77" t="s">
        <v>160</v>
      </c>
      <c r="C150" s="77" t="s">
        <v>14</v>
      </c>
      <c r="D150" s="78" t="n">
        <v>596.775</v>
      </c>
      <c r="E150" s="56" t="n">
        <v>36.4</v>
      </c>
      <c r="F150" s="79" t="n">
        <v>0.8</v>
      </c>
      <c r="G150" s="80"/>
      <c r="H150" s="80"/>
      <c r="I150" s="59" t="n">
        <f aca="false">SUM(F150:H150)</f>
        <v>0.8</v>
      </c>
      <c r="J150" s="60" t="n">
        <f aca="false">E150-I150</f>
        <v>35.6</v>
      </c>
      <c r="K150" s="80"/>
      <c r="L150" s="81"/>
      <c r="M150" s="82"/>
      <c r="N150" s="82"/>
      <c r="O150" s="82"/>
      <c r="P150" s="82"/>
      <c r="Q150" s="82"/>
      <c r="R150" s="59" t="n">
        <f aca="false">SUM(K150:Q150)</f>
        <v>0</v>
      </c>
      <c r="S150" s="60" t="n">
        <f aca="false">J150-R150</f>
        <v>35.6</v>
      </c>
      <c r="T150" s="82"/>
      <c r="U150" s="82"/>
      <c r="V150" s="83"/>
      <c r="W150" s="79" t="n">
        <v>0.4</v>
      </c>
      <c r="X150" s="80"/>
      <c r="Y150" s="80"/>
      <c r="Z150" s="80"/>
      <c r="AA150" s="59" t="n">
        <f aca="false">SUM(T150:Z150)</f>
        <v>0.4</v>
      </c>
      <c r="AB150" s="60" t="n">
        <f aca="false">S150-AA150</f>
        <v>35.2</v>
      </c>
      <c r="AC150" s="80" t="n">
        <v>0.4</v>
      </c>
      <c r="AD150" s="80"/>
      <c r="AE150" s="80"/>
      <c r="AF150" s="80"/>
      <c r="AG150" s="80"/>
      <c r="AH150" s="80"/>
      <c r="AI150" s="83"/>
      <c r="AJ150" s="65" t="n">
        <f aca="false">SUM(AC150:AI150)</f>
        <v>0.4</v>
      </c>
      <c r="AK150" s="60" t="n">
        <f aca="false">AB150-AJ150</f>
        <v>34.8</v>
      </c>
      <c r="AL150" s="80"/>
      <c r="AM150" s="80"/>
      <c r="AN150" s="80"/>
      <c r="AO150" s="80"/>
      <c r="AP150" s="75"/>
      <c r="AQ150" s="75"/>
      <c r="AR150" s="75"/>
      <c r="AS150" s="60" t="n">
        <f aca="false">SUM(AL150:AR150)</f>
        <v>0</v>
      </c>
      <c r="AT150" s="60" t="n">
        <f aca="false">AK150-AS150</f>
        <v>34.8</v>
      </c>
    </row>
    <row r="151" customFormat="false" ht="13.5" hidden="false" customHeight="true" outlineLevel="0" collapsed="false">
      <c r="A151" s="76"/>
      <c r="B151" s="77" t="s">
        <v>161</v>
      </c>
      <c r="C151" s="77" t="s">
        <v>14</v>
      </c>
      <c r="D151" s="78" t="n">
        <v>715</v>
      </c>
      <c r="E151" s="56" t="n">
        <v>82.975</v>
      </c>
      <c r="F151" s="79"/>
      <c r="G151" s="80" t="n">
        <v>4.67</v>
      </c>
      <c r="H151" s="80"/>
      <c r="I151" s="59" t="n">
        <f aca="false">SUM(F151:H151)</f>
        <v>4.67</v>
      </c>
      <c r="J151" s="60" t="n">
        <f aca="false">E151-I151</f>
        <v>78.305</v>
      </c>
      <c r="K151" s="80" t="n">
        <v>5.61</v>
      </c>
      <c r="L151" s="81" t="n">
        <v>5.885</v>
      </c>
      <c r="M151" s="82"/>
      <c r="N151" s="82" t="n">
        <v>11.26</v>
      </c>
      <c r="O151" s="82"/>
      <c r="P151" s="82"/>
      <c r="Q151" s="82" t="n">
        <v>5.87</v>
      </c>
      <c r="R151" s="59" t="n">
        <f aca="false">SUM(K151:Q151)</f>
        <v>28.625</v>
      </c>
      <c r="S151" s="60" t="n">
        <f aca="false">J151-R151+60.715</f>
        <v>110.395</v>
      </c>
      <c r="T151" s="82"/>
      <c r="U151" s="82" t="n">
        <v>5.95</v>
      </c>
      <c r="V151" s="83"/>
      <c r="W151" s="79" t="n">
        <v>5.785</v>
      </c>
      <c r="X151" s="80" t="n">
        <v>6</v>
      </c>
      <c r="Y151" s="80"/>
      <c r="Z151" s="80" t="n">
        <v>5.325</v>
      </c>
      <c r="AA151" s="59" t="n">
        <f aca="false">SUM(T151:Z151)</f>
        <v>23.06</v>
      </c>
      <c r="AB151" s="60" t="n">
        <f aca="false">S151-AA151</f>
        <v>87.335</v>
      </c>
      <c r="AC151" s="80"/>
      <c r="AD151" s="80"/>
      <c r="AE151" s="80" t="n">
        <v>5.855</v>
      </c>
      <c r="AF151" s="80"/>
      <c r="AG151" s="80"/>
      <c r="AH151" s="80"/>
      <c r="AI151" s="83"/>
      <c r="AJ151" s="65" t="n">
        <f aca="false">SUM(AC151:AI151)</f>
        <v>5.855</v>
      </c>
      <c r="AK151" s="60" t="n">
        <f aca="false">AB151-AJ151</f>
        <v>81.48</v>
      </c>
      <c r="AL151" s="80"/>
      <c r="AM151" s="80"/>
      <c r="AN151" s="80"/>
      <c r="AO151" s="80"/>
      <c r="AP151" s="75"/>
      <c r="AQ151" s="75"/>
      <c r="AR151" s="75"/>
      <c r="AS151" s="60" t="n">
        <f aca="false">SUM(AL151:AR151)</f>
        <v>0</v>
      </c>
      <c r="AT151" s="60" t="n">
        <f aca="false">AK151-AS151</f>
        <v>81.48</v>
      </c>
    </row>
    <row r="152" customFormat="false" ht="13.5" hidden="false" customHeight="true" outlineLevel="0" collapsed="false">
      <c r="A152" s="76"/>
      <c r="B152" s="77" t="s">
        <v>162</v>
      </c>
      <c r="C152" s="77" t="s">
        <v>19</v>
      </c>
      <c r="D152" s="78" t="n">
        <v>2.35</v>
      </c>
      <c r="E152" s="56" t="n">
        <v>3040</v>
      </c>
      <c r="F152" s="79"/>
      <c r="G152" s="80"/>
      <c r="H152" s="80"/>
      <c r="I152" s="59" t="n">
        <f aca="false">SUM(F152:H152)</f>
        <v>0</v>
      </c>
      <c r="J152" s="60" t="n">
        <f aca="false">E152-I152</f>
        <v>3040</v>
      </c>
      <c r="K152" s="80"/>
      <c r="L152" s="81"/>
      <c r="M152" s="82"/>
      <c r="N152" s="82"/>
      <c r="O152" s="82"/>
      <c r="P152" s="82"/>
      <c r="Q152" s="82"/>
      <c r="R152" s="59" t="n">
        <f aca="false">SUM(K152:Q152)</f>
        <v>0</v>
      </c>
      <c r="S152" s="60" t="n">
        <f aca="false">J152-R152</f>
        <v>3040</v>
      </c>
      <c r="T152" s="82"/>
      <c r="U152" s="82"/>
      <c r="V152" s="83"/>
      <c r="W152" s="79"/>
      <c r="X152" s="80"/>
      <c r="Y152" s="80"/>
      <c r="Z152" s="80"/>
      <c r="AA152" s="59" t="n">
        <f aca="false">SUM(T152:Z152)</f>
        <v>0</v>
      </c>
      <c r="AB152" s="60" t="n">
        <f aca="false">S152-AA152</f>
        <v>3040</v>
      </c>
      <c r="AC152" s="80"/>
      <c r="AD152" s="80"/>
      <c r="AE152" s="80"/>
      <c r="AF152" s="80"/>
      <c r="AG152" s="80"/>
      <c r="AH152" s="80"/>
      <c r="AI152" s="83"/>
      <c r="AJ152" s="65" t="n">
        <f aca="false">SUM(AC152:AI152)</f>
        <v>0</v>
      </c>
      <c r="AK152" s="60" t="n">
        <f aca="false">AB152-AJ152</f>
        <v>3040</v>
      </c>
      <c r="AL152" s="80"/>
      <c r="AM152" s="80"/>
      <c r="AN152" s="80"/>
      <c r="AO152" s="80"/>
      <c r="AP152" s="75"/>
      <c r="AQ152" s="75"/>
      <c r="AR152" s="75"/>
      <c r="AS152" s="60" t="n">
        <f aca="false">SUM(AL152:AR152)</f>
        <v>0</v>
      </c>
      <c r="AT152" s="60" t="n">
        <f aca="false">AK152-AS152</f>
        <v>3040</v>
      </c>
    </row>
    <row r="153" customFormat="false" ht="13.5" hidden="false" customHeight="true" outlineLevel="0" collapsed="false">
      <c r="A153" s="76"/>
      <c r="B153" s="77" t="s">
        <v>163</v>
      </c>
      <c r="C153" s="77" t="s">
        <v>19</v>
      </c>
      <c r="D153" s="78" t="n">
        <v>3.17</v>
      </c>
      <c r="E153" s="56" t="n">
        <v>80</v>
      </c>
      <c r="F153" s="79"/>
      <c r="G153" s="80"/>
      <c r="H153" s="80"/>
      <c r="I153" s="59" t="n">
        <f aca="false">SUM(F153:H153)</f>
        <v>0</v>
      </c>
      <c r="J153" s="60" t="n">
        <f aca="false">E153-I153</f>
        <v>80</v>
      </c>
      <c r="K153" s="80"/>
      <c r="L153" s="81"/>
      <c r="M153" s="82"/>
      <c r="N153" s="82"/>
      <c r="O153" s="82"/>
      <c r="P153" s="82"/>
      <c r="Q153" s="82"/>
      <c r="R153" s="59" t="n">
        <f aca="false">SUM(K153:Q153)</f>
        <v>0</v>
      </c>
      <c r="S153" s="60" t="n">
        <f aca="false">J153-R153</f>
        <v>80</v>
      </c>
      <c r="T153" s="82"/>
      <c r="U153" s="82"/>
      <c r="V153" s="83"/>
      <c r="W153" s="79"/>
      <c r="X153" s="80"/>
      <c r="Y153" s="80"/>
      <c r="Z153" s="80"/>
      <c r="AA153" s="59" t="n">
        <f aca="false">SUM(T153:Z153)</f>
        <v>0</v>
      </c>
      <c r="AB153" s="60" t="n">
        <f aca="false">S153-AA153</f>
        <v>80</v>
      </c>
      <c r="AC153" s="80"/>
      <c r="AD153" s="80"/>
      <c r="AE153" s="80"/>
      <c r="AF153" s="80"/>
      <c r="AG153" s="80"/>
      <c r="AH153" s="80"/>
      <c r="AI153" s="83"/>
      <c r="AJ153" s="65" t="n">
        <f aca="false">SUM(AC153:AI153)</f>
        <v>0</v>
      </c>
      <c r="AK153" s="60" t="n">
        <f aca="false">AB153-AJ153</f>
        <v>80</v>
      </c>
      <c r="AL153" s="80"/>
      <c r="AM153" s="80"/>
      <c r="AN153" s="80"/>
      <c r="AO153" s="80"/>
      <c r="AP153" s="75"/>
      <c r="AQ153" s="75"/>
      <c r="AR153" s="75"/>
      <c r="AS153" s="60" t="n">
        <f aca="false">SUM(AL153:AR153)</f>
        <v>0</v>
      </c>
      <c r="AT153" s="60" t="n">
        <f aca="false">AK153-AS153</f>
        <v>80</v>
      </c>
    </row>
    <row r="154" customFormat="false" ht="13.5" hidden="false" customHeight="true" outlineLevel="0" collapsed="false">
      <c r="A154" s="76"/>
      <c r="B154" s="77" t="s">
        <v>164</v>
      </c>
      <c r="C154" s="77" t="s">
        <v>14</v>
      </c>
      <c r="D154" s="78" t="n">
        <v>289.77</v>
      </c>
      <c r="E154" s="56" t="n">
        <v>12</v>
      </c>
      <c r="F154" s="79" t="n">
        <v>5</v>
      </c>
      <c r="G154" s="80"/>
      <c r="H154" s="80" t="n">
        <v>5</v>
      </c>
      <c r="I154" s="59" t="n">
        <f aca="false">SUM(F154:H154)</f>
        <v>10</v>
      </c>
      <c r="J154" s="60" t="n">
        <f aca="false">E154-I154</f>
        <v>2</v>
      </c>
      <c r="K154" s="80"/>
      <c r="L154" s="81"/>
      <c r="M154" s="82"/>
      <c r="N154" s="82"/>
      <c r="O154" s="82"/>
      <c r="P154" s="82" t="n">
        <v>2</v>
      </c>
      <c r="Q154" s="82"/>
      <c r="R154" s="59" t="n">
        <f aca="false">SUM(K154:Q154)</f>
        <v>2</v>
      </c>
      <c r="S154" s="60" t="n">
        <f aca="false">J154-R154+50</f>
        <v>50</v>
      </c>
      <c r="T154" s="82"/>
      <c r="U154" s="82"/>
      <c r="V154" s="83" t="n">
        <v>5</v>
      </c>
      <c r="W154" s="79"/>
      <c r="X154" s="80"/>
      <c r="Y154" s="80" t="n">
        <v>5</v>
      </c>
      <c r="Z154" s="80"/>
      <c r="AA154" s="59" t="n">
        <f aca="false">SUM(T154:Z154)</f>
        <v>10</v>
      </c>
      <c r="AB154" s="60" t="n">
        <f aca="false">S154-AA154</f>
        <v>40</v>
      </c>
      <c r="AC154" s="80" t="n">
        <v>5</v>
      </c>
      <c r="AD154" s="80"/>
      <c r="AE154" s="80" t="n">
        <v>10</v>
      </c>
      <c r="AF154" s="80"/>
      <c r="AG154" s="80"/>
      <c r="AH154" s="80"/>
      <c r="AI154" s="83"/>
      <c r="AJ154" s="65" t="n">
        <f aca="false">SUM(AC154:AI154)</f>
        <v>15</v>
      </c>
      <c r="AK154" s="60" t="n">
        <f aca="false">AB154-AJ154</f>
        <v>25</v>
      </c>
      <c r="AL154" s="80"/>
      <c r="AM154" s="80"/>
      <c r="AN154" s="80"/>
      <c r="AO154" s="80"/>
      <c r="AP154" s="75"/>
      <c r="AQ154" s="75"/>
      <c r="AR154" s="75"/>
      <c r="AS154" s="60" t="n">
        <f aca="false">SUM(AL154:AR154)</f>
        <v>0</v>
      </c>
      <c r="AT154" s="60" t="n">
        <f aca="false">AK154-AS154</f>
        <v>25</v>
      </c>
    </row>
    <row r="155" customFormat="false" ht="13.5" hidden="false" customHeight="true" outlineLevel="0" collapsed="false">
      <c r="A155" s="76"/>
      <c r="B155" s="77" t="s">
        <v>165</v>
      </c>
      <c r="C155" s="77" t="s">
        <v>14</v>
      </c>
      <c r="D155" s="78" t="n">
        <v>253</v>
      </c>
      <c r="E155" s="56" t="n">
        <v>132</v>
      </c>
      <c r="F155" s="79"/>
      <c r="G155" s="80"/>
      <c r="H155" s="80"/>
      <c r="I155" s="59" t="n">
        <f aca="false">SUM(F155:H155)</f>
        <v>0</v>
      </c>
      <c r="J155" s="60" t="n">
        <f aca="false">E155-I155</f>
        <v>132</v>
      </c>
      <c r="K155" s="80"/>
      <c r="L155" s="81"/>
      <c r="M155" s="82"/>
      <c r="N155" s="82"/>
      <c r="O155" s="82"/>
      <c r="P155" s="82"/>
      <c r="Q155" s="82" t="n">
        <v>12</v>
      </c>
      <c r="R155" s="59" t="n">
        <f aca="false">SUM(K155:Q155)</f>
        <v>12</v>
      </c>
      <c r="S155" s="60" t="n">
        <f aca="false">J155-R155</f>
        <v>120</v>
      </c>
      <c r="T155" s="82"/>
      <c r="U155" s="82"/>
      <c r="V155" s="83"/>
      <c r="W155" s="79"/>
      <c r="X155" s="80" t="n">
        <v>12</v>
      </c>
      <c r="Y155" s="80"/>
      <c r="Z155" s="80"/>
      <c r="AA155" s="59" t="n">
        <f aca="false">SUM(T155:Z155)</f>
        <v>12</v>
      </c>
      <c r="AB155" s="60" t="n">
        <f aca="false">S155-AA155</f>
        <v>108</v>
      </c>
      <c r="AC155" s="80"/>
      <c r="AD155" s="80"/>
      <c r="AE155" s="80" t="n">
        <v>12</v>
      </c>
      <c r="AF155" s="80"/>
      <c r="AG155" s="80"/>
      <c r="AH155" s="80"/>
      <c r="AI155" s="83"/>
      <c r="AJ155" s="65" t="n">
        <f aca="false">SUM(AC155:AI155)</f>
        <v>12</v>
      </c>
      <c r="AK155" s="60" t="n">
        <f aca="false">AB155-AJ155</f>
        <v>96</v>
      </c>
      <c r="AL155" s="80"/>
      <c r="AM155" s="80"/>
      <c r="AN155" s="80"/>
      <c r="AO155" s="80"/>
      <c r="AP155" s="75"/>
      <c r="AQ155" s="75"/>
      <c r="AR155" s="75"/>
      <c r="AS155" s="60" t="n">
        <f aca="false">SUM(AL155:AR155)</f>
        <v>0</v>
      </c>
      <c r="AT155" s="60" t="n">
        <f aca="false">AK155-AS155</f>
        <v>96</v>
      </c>
    </row>
    <row r="156" customFormat="false" ht="13.5" hidden="false" customHeight="true" outlineLevel="0" collapsed="false">
      <c r="A156" s="76"/>
      <c r="B156" s="77" t="s">
        <v>166</v>
      </c>
      <c r="C156" s="77" t="s">
        <v>14</v>
      </c>
      <c r="D156" s="78" t="n">
        <v>156.2</v>
      </c>
      <c r="E156" s="56" t="n">
        <v>50</v>
      </c>
      <c r="F156" s="79"/>
      <c r="G156" s="80" t="n">
        <v>5</v>
      </c>
      <c r="H156" s="80"/>
      <c r="I156" s="59" t="n">
        <f aca="false">SUM(F156:H156)</f>
        <v>5</v>
      </c>
      <c r="J156" s="60" t="n">
        <f aca="false">E156-I156</f>
        <v>45</v>
      </c>
      <c r="K156" s="80"/>
      <c r="L156" s="81"/>
      <c r="M156" s="82" t="n">
        <v>6</v>
      </c>
      <c r="N156" s="82"/>
      <c r="O156" s="82"/>
      <c r="P156" s="82" t="n">
        <v>6</v>
      </c>
      <c r="Q156" s="82"/>
      <c r="R156" s="59" t="n">
        <f aca="false">SUM(K156:Q156)</f>
        <v>12</v>
      </c>
      <c r="S156" s="60" t="n">
        <f aca="false">J156-R156</f>
        <v>33</v>
      </c>
      <c r="T156" s="82"/>
      <c r="U156" s="82" t="n">
        <v>5</v>
      </c>
      <c r="V156" s="83"/>
      <c r="W156" s="79"/>
      <c r="X156" s="80" t="n">
        <v>5</v>
      </c>
      <c r="Y156" s="80"/>
      <c r="Z156" s="80" t="n">
        <v>5</v>
      </c>
      <c r="AA156" s="59" t="n">
        <f aca="false">SUM(T156:Z156)</f>
        <v>15</v>
      </c>
      <c r="AB156" s="60" t="n">
        <f aca="false">S156-AA156</f>
        <v>18</v>
      </c>
      <c r="AC156" s="80"/>
      <c r="AD156" s="80"/>
      <c r="AE156" s="80" t="n">
        <v>5</v>
      </c>
      <c r="AF156" s="80"/>
      <c r="AG156" s="80"/>
      <c r="AH156" s="80"/>
      <c r="AI156" s="83"/>
      <c r="AJ156" s="65" t="n">
        <f aca="false">SUM(AC156:AI156)</f>
        <v>5</v>
      </c>
      <c r="AK156" s="60" t="n">
        <f aca="false">AB156-AJ156</f>
        <v>13</v>
      </c>
      <c r="AL156" s="80"/>
      <c r="AM156" s="80"/>
      <c r="AN156" s="80"/>
      <c r="AO156" s="80"/>
      <c r="AP156" s="75"/>
      <c r="AQ156" s="75"/>
      <c r="AR156" s="75"/>
      <c r="AS156" s="60" t="n">
        <f aca="false">SUM(AL156:AR156)</f>
        <v>0</v>
      </c>
      <c r="AT156" s="60" t="n">
        <f aca="false">AK156-AS156</f>
        <v>13</v>
      </c>
    </row>
    <row r="157" customFormat="false" ht="13.5" hidden="false" customHeight="true" outlineLevel="0" collapsed="false">
      <c r="A157" s="76"/>
      <c r="B157" s="77" t="s">
        <v>167</v>
      </c>
      <c r="C157" s="77" t="s">
        <v>16</v>
      </c>
      <c r="D157" s="78" t="n">
        <v>214.823238566131</v>
      </c>
      <c r="E157" s="56" t="n">
        <v>1.8</v>
      </c>
      <c r="F157" s="79"/>
      <c r="G157" s="80"/>
      <c r="H157" s="80"/>
      <c r="I157" s="59" t="n">
        <f aca="false">SUM(F157:H157)</f>
        <v>0</v>
      </c>
      <c r="J157" s="60" t="n">
        <f aca="false">E157-I157</f>
        <v>1.8</v>
      </c>
      <c r="K157" s="80"/>
      <c r="L157" s="81"/>
      <c r="M157" s="82"/>
      <c r="N157" s="82"/>
      <c r="O157" s="82"/>
      <c r="P157" s="82"/>
      <c r="Q157" s="82"/>
      <c r="R157" s="59" t="n">
        <f aca="false">SUM(K157:Q157)</f>
        <v>0</v>
      </c>
      <c r="S157" s="60" t="n">
        <f aca="false">J157-R157</f>
        <v>1.8</v>
      </c>
      <c r="T157" s="82"/>
      <c r="U157" s="82"/>
      <c r="V157" s="83"/>
      <c r="W157" s="79"/>
      <c r="X157" s="80"/>
      <c r="Y157" s="80"/>
      <c r="Z157" s="80"/>
      <c r="AA157" s="59" t="n">
        <f aca="false">SUM(T157:Z157)</f>
        <v>0</v>
      </c>
      <c r="AB157" s="60" t="n">
        <f aca="false">S157-AA157</f>
        <v>1.8</v>
      </c>
      <c r="AC157" s="80"/>
      <c r="AD157" s="80"/>
      <c r="AE157" s="80"/>
      <c r="AF157" s="80"/>
      <c r="AG157" s="80"/>
      <c r="AH157" s="80"/>
      <c r="AI157" s="83"/>
      <c r="AJ157" s="65" t="n">
        <f aca="false">SUM(AC157:AI157)</f>
        <v>0</v>
      </c>
      <c r="AK157" s="60" t="n">
        <f aca="false">AB157-AJ157</f>
        <v>1.8</v>
      </c>
      <c r="AL157" s="80"/>
      <c r="AM157" s="80"/>
      <c r="AN157" s="80"/>
      <c r="AO157" s="80"/>
      <c r="AP157" s="75"/>
      <c r="AQ157" s="75"/>
      <c r="AR157" s="75"/>
      <c r="AS157" s="60" t="n">
        <f aca="false">SUM(AL157:AR157)</f>
        <v>0</v>
      </c>
      <c r="AT157" s="60" t="n">
        <f aca="false">AK157-AS157</f>
        <v>1.8</v>
      </c>
    </row>
    <row r="158" customFormat="false" ht="13.5" hidden="false" customHeight="true" outlineLevel="0" collapsed="false">
      <c r="A158" s="76"/>
      <c r="B158" s="77" t="s">
        <v>168</v>
      </c>
      <c r="C158" s="77" t="s">
        <v>14</v>
      </c>
      <c r="D158" s="78" t="n">
        <v>159.500042211904</v>
      </c>
      <c r="E158" s="56" t="n">
        <v>118</v>
      </c>
      <c r="F158" s="79"/>
      <c r="G158" s="80" t="n">
        <v>40</v>
      </c>
      <c r="H158" s="80"/>
      <c r="I158" s="59" t="n">
        <f aca="false">SUM(F158:H158)</f>
        <v>40</v>
      </c>
      <c r="J158" s="60" t="n">
        <f aca="false">E158-I158</f>
        <v>78</v>
      </c>
      <c r="K158" s="80"/>
      <c r="L158" s="81" t="n">
        <v>20</v>
      </c>
      <c r="M158" s="82"/>
      <c r="N158" s="82"/>
      <c r="O158" s="82"/>
      <c r="P158" s="82" t="n">
        <v>30</v>
      </c>
      <c r="Q158" s="82"/>
      <c r="R158" s="59" t="n">
        <f aca="false">SUM(K158:Q158)</f>
        <v>50</v>
      </c>
      <c r="S158" s="60" t="n">
        <f aca="false">J158-R158+60</f>
        <v>88</v>
      </c>
      <c r="T158" s="82"/>
      <c r="U158" s="82"/>
      <c r="V158" s="83"/>
      <c r="W158" s="79" t="n">
        <v>17</v>
      </c>
      <c r="X158" s="80"/>
      <c r="Y158" s="80"/>
      <c r="Z158" s="80" t="n">
        <v>30</v>
      </c>
      <c r="AA158" s="59" t="n">
        <f aca="false">SUM(T158:Z158)</f>
        <v>47</v>
      </c>
      <c r="AB158" s="60" t="n">
        <f aca="false">S158-AA158</f>
        <v>41</v>
      </c>
      <c r="AC158" s="80"/>
      <c r="AD158" s="80" t="n">
        <v>25.5</v>
      </c>
      <c r="AE158" s="80"/>
      <c r="AF158" s="80"/>
      <c r="AG158" s="80"/>
      <c r="AH158" s="80"/>
      <c r="AI158" s="83"/>
      <c r="AJ158" s="65" t="n">
        <f aca="false">SUM(AC158:AI158)</f>
        <v>25.5</v>
      </c>
      <c r="AK158" s="60" t="n">
        <f aca="false">AB158-AJ158</f>
        <v>15.5</v>
      </c>
      <c r="AL158" s="80"/>
      <c r="AM158" s="80"/>
      <c r="AN158" s="80"/>
      <c r="AO158" s="80"/>
      <c r="AP158" s="75"/>
      <c r="AQ158" s="75"/>
      <c r="AR158" s="75"/>
      <c r="AS158" s="60" t="n">
        <f aca="false">SUM(AL158:AR158)</f>
        <v>0</v>
      </c>
      <c r="AT158" s="60" t="n">
        <f aca="false">AK158-AS158</f>
        <v>15.5</v>
      </c>
    </row>
    <row r="159" customFormat="false" ht="13.5" hidden="false" customHeight="true" outlineLevel="0" collapsed="false">
      <c r="A159" s="76"/>
      <c r="B159" s="77" t="s">
        <v>169</v>
      </c>
      <c r="C159" s="77" t="s">
        <v>14</v>
      </c>
      <c r="D159" s="78" t="n">
        <v>214.5</v>
      </c>
      <c r="E159" s="56" t="n">
        <v>51.4</v>
      </c>
      <c r="F159" s="79"/>
      <c r="G159" s="80"/>
      <c r="H159" s="80"/>
      <c r="I159" s="59" t="n">
        <f aca="false">SUM(F159:H159)</f>
        <v>0</v>
      </c>
      <c r="J159" s="60" t="n">
        <f aca="false">E159-I159</f>
        <v>51.4</v>
      </c>
      <c r="K159" s="80"/>
      <c r="L159" s="81"/>
      <c r="M159" s="82" t="n">
        <v>24.8</v>
      </c>
      <c r="N159" s="82"/>
      <c r="O159" s="82"/>
      <c r="P159" s="82"/>
      <c r="Q159" s="82"/>
      <c r="R159" s="59" t="n">
        <f aca="false">SUM(K159:Q159)</f>
        <v>24.8</v>
      </c>
      <c r="S159" s="60" t="n">
        <f aca="false">J159-R159+60</f>
        <v>86.6</v>
      </c>
      <c r="T159" s="82" t="n">
        <v>20.7</v>
      </c>
      <c r="U159" s="82"/>
      <c r="V159" s="83"/>
      <c r="W159" s="79"/>
      <c r="X159" s="80" t="n">
        <v>65.9</v>
      </c>
      <c r="Y159" s="80"/>
      <c r="Z159" s="80"/>
      <c r="AA159" s="59" t="n">
        <f aca="false">SUM(T159:Z159)</f>
        <v>86.6</v>
      </c>
      <c r="AB159" s="60" t="n">
        <f aca="false">S159-AA159</f>
        <v>0</v>
      </c>
      <c r="AC159" s="80"/>
      <c r="AD159" s="80" t="n">
        <v>22</v>
      </c>
      <c r="AE159" s="80"/>
      <c r="AF159" s="80"/>
      <c r="AG159" s="80"/>
      <c r="AH159" s="80"/>
      <c r="AI159" s="83"/>
      <c r="AJ159" s="65" t="n">
        <f aca="false">SUM(AC159:AI159)</f>
        <v>22</v>
      </c>
      <c r="AK159" s="60" t="n">
        <f aca="false">AB159-AJ159</f>
        <v>-22</v>
      </c>
      <c r="AL159" s="80"/>
      <c r="AM159" s="80"/>
      <c r="AN159" s="80"/>
      <c r="AO159" s="80"/>
      <c r="AP159" s="75"/>
      <c r="AQ159" s="75"/>
      <c r="AR159" s="75"/>
      <c r="AS159" s="60" t="n">
        <f aca="false">SUM(AL159:AR159)</f>
        <v>0</v>
      </c>
      <c r="AT159" s="60" t="n">
        <f aca="false">AK159-AS159</f>
        <v>-22</v>
      </c>
    </row>
    <row r="160" customFormat="false" ht="13.5" hidden="false" customHeight="true" outlineLevel="0" collapsed="false">
      <c r="A160" s="76"/>
      <c r="B160" s="77" t="s">
        <v>170</v>
      </c>
      <c r="C160" s="77" t="s">
        <v>14</v>
      </c>
      <c r="D160" s="78" t="n">
        <v>291.49986431479</v>
      </c>
      <c r="E160" s="56" t="n">
        <v>24.5</v>
      </c>
      <c r="F160" s="79"/>
      <c r="G160" s="80"/>
      <c r="H160" s="80"/>
      <c r="I160" s="59" t="n">
        <f aca="false">SUM(F160:H160)</f>
        <v>0</v>
      </c>
      <c r="J160" s="60" t="n">
        <f aca="false">E160-I160</f>
        <v>24.5</v>
      </c>
      <c r="K160" s="80"/>
      <c r="L160" s="81"/>
      <c r="M160" s="82"/>
      <c r="N160" s="82"/>
      <c r="O160" s="82" t="n">
        <v>16</v>
      </c>
      <c r="P160" s="82"/>
      <c r="Q160" s="82"/>
      <c r="R160" s="59" t="n">
        <f aca="false">SUM(K160:Q160)</f>
        <v>16</v>
      </c>
      <c r="S160" s="60" t="n">
        <f aca="false">J160-R160+32.3</f>
        <v>40.8</v>
      </c>
      <c r="T160" s="82" t="n">
        <v>8.5</v>
      </c>
      <c r="U160" s="82"/>
      <c r="V160" s="83"/>
      <c r="W160" s="79"/>
      <c r="X160" s="80"/>
      <c r="Y160" s="80"/>
      <c r="Z160" s="80"/>
      <c r="AA160" s="59" t="n">
        <f aca="false">SUM(T160:Z160)</f>
        <v>8.5</v>
      </c>
      <c r="AB160" s="60" t="n">
        <f aca="false">S160-AA160</f>
        <v>32.3</v>
      </c>
      <c r="AC160" s="80"/>
      <c r="AD160" s="80"/>
      <c r="AE160" s="80"/>
      <c r="AF160" s="80"/>
      <c r="AG160" s="80"/>
      <c r="AH160" s="80"/>
      <c r="AI160" s="83"/>
      <c r="AJ160" s="65" t="n">
        <f aca="false">SUM(AC160:AI160)</f>
        <v>0</v>
      </c>
      <c r="AK160" s="60" t="n">
        <f aca="false">AB160-AJ160</f>
        <v>32.3</v>
      </c>
      <c r="AL160" s="80"/>
      <c r="AM160" s="80"/>
      <c r="AN160" s="80"/>
      <c r="AO160" s="80"/>
      <c r="AP160" s="75"/>
      <c r="AQ160" s="75"/>
      <c r="AR160" s="75"/>
      <c r="AS160" s="60" t="n">
        <f aca="false">SUM(AL160:AR160)</f>
        <v>0</v>
      </c>
      <c r="AT160" s="60" t="n">
        <f aca="false">AK160-AS160</f>
        <v>32.3</v>
      </c>
    </row>
    <row r="161" customFormat="false" ht="13.5" hidden="false" customHeight="true" outlineLevel="0" collapsed="false">
      <c r="A161" s="76"/>
      <c r="B161" s="77" t="s">
        <v>171</v>
      </c>
      <c r="C161" s="77" t="s">
        <v>14</v>
      </c>
      <c r="D161" s="78" t="n">
        <v>247.5</v>
      </c>
      <c r="E161" s="56" t="n">
        <v>105.7</v>
      </c>
      <c r="F161" s="79" t="n">
        <v>20</v>
      </c>
      <c r="G161" s="80"/>
      <c r="H161" s="80"/>
      <c r="I161" s="59" t="n">
        <f aca="false">SUM(F161:H161)</f>
        <v>20</v>
      </c>
      <c r="J161" s="60" t="n">
        <f aca="false">E161-I161</f>
        <v>85.7</v>
      </c>
      <c r="K161" s="80" t="n">
        <v>20</v>
      </c>
      <c r="L161" s="81"/>
      <c r="M161" s="82" t="n">
        <v>10</v>
      </c>
      <c r="N161" s="82" t="n">
        <v>30</v>
      </c>
      <c r="O161" s="82"/>
      <c r="P161" s="82"/>
      <c r="Q161" s="82"/>
      <c r="R161" s="59" t="n">
        <f aca="false">SUM(K161:Q161)</f>
        <v>60</v>
      </c>
      <c r="S161" s="60" t="n">
        <f aca="false">J161-R161+66.3</f>
        <v>92</v>
      </c>
      <c r="T161" s="82" t="n">
        <v>25.7</v>
      </c>
      <c r="U161" s="82"/>
      <c r="V161" s="83"/>
      <c r="W161" s="79"/>
      <c r="X161" s="80"/>
      <c r="Y161" s="80" t="n">
        <v>40</v>
      </c>
      <c r="Z161" s="80"/>
      <c r="AA161" s="59" t="n">
        <f aca="false">SUM(T161:Z161)</f>
        <v>65.7</v>
      </c>
      <c r="AB161" s="60" t="n">
        <f aca="false">S161-AA161</f>
        <v>26.3</v>
      </c>
      <c r="AC161" s="80"/>
      <c r="AD161" s="80"/>
      <c r="AE161" s="80"/>
      <c r="AF161" s="80"/>
      <c r="AG161" s="80"/>
      <c r="AH161" s="80"/>
      <c r="AI161" s="83"/>
      <c r="AJ161" s="65" t="n">
        <f aca="false">SUM(AC161:AI161)</f>
        <v>0</v>
      </c>
      <c r="AK161" s="60" t="n">
        <f aca="false">AB161-AJ161</f>
        <v>26.3</v>
      </c>
      <c r="AL161" s="80"/>
      <c r="AM161" s="80"/>
      <c r="AN161" s="80"/>
      <c r="AO161" s="80"/>
      <c r="AP161" s="75"/>
      <c r="AQ161" s="75"/>
      <c r="AR161" s="75"/>
      <c r="AS161" s="60" t="n">
        <f aca="false">SUM(AL161:AR161)</f>
        <v>0</v>
      </c>
      <c r="AT161" s="60" t="n">
        <f aca="false">AK161-AS161</f>
        <v>26.3</v>
      </c>
    </row>
    <row r="162" customFormat="false" ht="15.75" hidden="false" customHeight="true" outlineLevel="0" collapsed="false">
      <c r="A162" s="76"/>
      <c r="B162" s="77" t="s">
        <v>172</v>
      </c>
      <c r="C162" s="77" t="s">
        <v>14</v>
      </c>
      <c r="D162" s="78" t="n">
        <v>115.5</v>
      </c>
      <c r="E162" s="56" t="n">
        <v>19.15</v>
      </c>
      <c r="F162" s="79"/>
      <c r="G162" s="80"/>
      <c r="H162" s="80"/>
      <c r="I162" s="59" t="n">
        <f aca="false">SUM(F162:H162)</f>
        <v>0</v>
      </c>
      <c r="J162" s="60" t="n">
        <f aca="false">E162-I162</f>
        <v>19.15</v>
      </c>
      <c r="K162" s="80"/>
      <c r="L162" s="81"/>
      <c r="M162" s="82"/>
      <c r="N162" s="82"/>
      <c r="O162" s="82"/>
      <c r="P162" s="82"/>
      <c r="Q162" s="82"/>
      <c r="R162" s="59" t="n">
        <f aca="false">SUM(K162:Q162)</f>
        <v>0</v>
      </c>
      <c r="S162" s="60" t="n">
        <f aca="false">J162-R162+1</f>
        <v>20.15</v>
      </c>
      <c r="T162" s="82"/>
      <c r="U162" s="82" t="n">
        <v>18.15</v>
      </c>
      <c r="V162" s="83"/>
      <c r="W162" s="79"/>
      <c r="X162" s="80" t="n">
        <v>2</v>
      </c>
      <c r="Y162" s="80"/>
      <c r="Z162" s="80"/>
      <c r="AA162" s="59" t="n">
        <f aca="false">SUM(T162:Z162)</f>
        <v>20.15</v>
      </c>
      <c r="AB162" s="60" t="n">
        <f aca="false">S162-AA162</f>
        <v>0</v>
      </c>
      <c r="AC162" s="80"/>
      <c r="AD162" s="80"/>
      <c r="AE162" s="80"/>
      <c r="AF162" s="80"/>
      <c r="AG162" s="80"/>
      <c r="AH162" s="80"/>
      <c r="AI162" s="83"/>
      <c r="AJ162" s="65" t="n">
        <f aca="false">SUM(AC162:AI162)</f>
        <v>0</v>
      </c>
      <c r="AK162" s="60" t="n">
        <f aca="false">AB162-AJ162</f>
        <v>0</v>
      </c>
      <c r="AL162" s="80"/>
      <c r="AM162" s="80"/>
      <c r="AN162" s="80"/>
      <c r="AO162" s="80"/>
      <c r="AP162" s="75"/>
      <c r="AQ162" s="75"/>
      <c r="AR162" s="75"/>
      <c r="AS162" s="60" t="n">
        <f aca="false">SUM(AL162:AR162)</f>
        <v>0</v>
      </c>
      <c r="AT162" s="60" t="n">
        <f aca="false">AK162-AS162</f>
        <v>0</v>
      </c>
    </row>
    <row r="163" customFormat="false" ht="13.5" hidden="false" customHeight="true" outlineLevel="0" collapsed="false">
      <c r="A163" s="76"/>
      <c r="B163" s="77" t="s">
        <v>173</v>
      </c>
      <c r="C163" s="77" t="s">
        <v>23</v>
      </c>
      <c r="D163" s="78" t="n">
        <v>300</v>
      </c>
      <c r="E163" s="56" t="n">
        <v>0</v>
      </c>
      <c r="F163" s="79"/>
      <c r="G163" s="80"/>
      <c r="H163" s="80"/>
      <c r="I163" s="59" t="n">
        <f aca="false">SUM(F163:H163)</f>
        <v>0</v>
      </c>
      <c r="J163" s="60" t="n">
        <f aca="false">E163-I163</f>
        <v>0</v>
      </c>
      <c r="K163" s="80"/>
      <c r="L163" s="81"/>
      <c r="M163" s="82"/>
      <c r="N163" s="82"/>
      <c r="O163" s="82"/>
      <c r="P163" s="82"/>
      <c r="Q163" s="82"/>
      <c r="R163" s="59" t="n">
        <f aca="false">SUM(K163:Q163)</f>
        <v>0</v>
      </c>
      <c r="S163" s="60" t="n">
        <f aca="false">J163-R163+60</f>
        <v>60</v>
      </c>
      <c r="T163" s="82"/>
      <c r="U163" s="82"/>
      <c r="V163" s="83" t="n">
        <v>40</v>
      </c>
      <c r="W163" s="79" t="n">
        <v>20</v>
      </c>
      <c r="X163" s="80"/>
      <c r="Y163" s="80"/>
      <c r="Z163" s="80"/>
      <c r="AA163" s="59" t="n">
        <f aca="false">SUM(T163:Z163)</f>
        <v>60</v>
      </c>
      <c r="AB163" s="60" t="n">
        <f aca="false">S163-AA163</f>
        <v>0</v>
      </c>
      <c r="AC163" s="80"/>
      <c r="AD163" s="80"/>
      <c r="AE163" s="80" t="n">
        <v>60</v>
      </c>
      <c r="AF163" s="80"/>
      <c r="AG163" s="80"/>
      <c r="AH163" s="80"/>
      <c r="AI163" s="83"/>
      <c r="AJ163" s="65" t="n">
        <f aca="false">SUM(AC163:AI163)</f>
        <v>60</v>
      </c>
      <c r="AK163" s="60" t="n">
        <f aca="false">AB163-AJ163</f>
        <v>-60</v>
      </c>
      <c r="AL163" s="80"/>
      <c r="AM163" s="80"/>
      <c r="AN163" s="80"/>
      <c r="AO163" s="80"/>
      <c r="AP163" s="75"/>
      <c r="AQ163" s="75"/>
      <c r="AR163" s="75"/>
      <c r="AS163" s="60" t="n">
        <f aca="false">SUM(AL163:AR163)</f>
        <v>0</v>
      </c>
      <c r="AT163" s="60" t="n">
        <f aca="false">AK163-AS163</f>
        <v>-60</v>
      </c>
    </row>
    <row r="164" customFormat="false" ht="13.5" hidden="false" customHeight="true" outlineLevel="0" collapsed="false">
      <c r="A164" s="76"/>
      <c r="B164" s="77" t="s">
        <v>174</v>
      </c>
      <c r="C164" s="77" t="s">
        <v>14</v>
      </c>
      <c r="D164" s="78" t="n">
        <v>388.54</v>
      </c>
      <c r="E164" s="56" t="n">
        <v>5.5</v>
      </c>
      <c r="F164" s="79"/>
      <c r="G164" s="80"/>
      <c r="H164" s="80"/>
      <c r="I164" s="59" t="n">
        <f aca="false">SUM(F164:H164)</f>
        <v>0</v>
      </c>
      <c r="J164" s="60" t="n">
        <f aca="false">E164-I164</f>
        <v>5.5</v>
      </c>
      <c r="K164" s="80"/>
      <c r="L164" s="81"/>
      <c r="M164" s="82"/>
      <c r="N164" s="82" t="n">
        <v>1.8</v>
      </c>
      <c r="O164" s="82" t="n">
        <v>1</v>
      </c>
      <c r="P164" s="82"/>
      <c r="Q164" s="82"/>
      <c r="R164" s="59" t="n">
        <f aca="false">SUM(K164:Q164)</f>
        <v>2.8</v>
      </c>
      <c r="S164" s="60" t="n">
        <f aca="false">J164-R164</f>
        <v>2.7</v>
      </c>
      <c r="T164" s="82"/>
      <c r="U164" s="82"/>
      <c r="V164" s="83" t="n">
        <v>1</v>
      </c>
      <c r="W164" s="79" t="n">
        <v>0.8</v>
      </c>
      <c r="X164" s="80"/>
      <c r="Y164" s="80"/>
      <c r="Z164" s="80" t="n">
        <v>0.6</v>
      </c>
      <c r="AA164" s="59" t="n">
        <f aca="false">SUM(T164:Z164)</f>
        <v>2.4</v>
      </c>
      <c r="AB164" s="60" t="n">
        <f aca="false">S164-AA164</f>
        <v>0.3</v>
      </c>
      <c r="AC164" s="80"/>
      <c r="AD164" s="80"/>
      <c r="AE164" s="80"/>
      <c r="AF164" s="80"/>
      <c r="AG164" s="80"/>
      <c r="AH164" s="80"/>
      <c r="AI164" s="83"/>
      <c r="AJ164" s="65" t="n">
        <f aca="false">SUM(AC164:AI164)</f>
        <v>0</v>
      </c>
      <c r="AK164" s="60" t="n">
        <f aca="false">AB164-AJ164</f>
        <v>0.3</v>
      </c>
      <c r="AL164" s="80"/>
      <c r="AM164" s="80"/>
      <c r="AN164" s="80"/>
      <c r="AO164" s="80"/>
      <c r="AP164" s="75"/>
      <c r="AQ164" s="75"/>
      <c r="AR164" s="75"/>
      <c r="AS164" s="60" t="n">
        <f aca="false">SUM(AL164:AR164)</f>
        <v>0</v>
      </c>
      <c r="AT164" s="60" t="n">
        <f aca="false">AK164-AS164</f>
        <v>0.3</v>
      </c>
    </row>
    <row r="165" customFormat="false" ht="13.5" hidden="false" customHeight="true" outlineLevel="0" collapsed="false">
      <c r="A165" s="76"/>
      <c r="B165" s="77" t="s">
        <v>175</v>
      </c>
      <c r="C165" s="77" t="s">
        <v>14</v>
      </c>
      <c r="D165" s="78" t="n">
        <v>308</v>
      </c>
      <c r="E165" s="56" t="n">
        <v>65</v>
      </c>
      <c r="F165" s="79"/>
      <c r="G165" s="80"/>
      <c r="H165" s="80"/>
      <c r="I165" s="59" t="n">
        <f aca="false">SUM(F165:H165)</f>
        <v>0</v>
      </c>
      <c r="J165" s="60" t="n">
        <f aca="false">E165-I165</f>
        <v>65</v>
      </c>
      <c r="K165" s="80"/>
      <c r="L165" s="81"/>
      <c r="M165" s="82"/>
      <c r="N165" s="82"/>
      <c r="O165" s="82"/>
      <c r="P165" s="82"/>
      <c r="Q165" s="82"/>
      <c r="R165" s="59" t="n">
        <f aca="false">SUM(K165:Q165)</f>
        <v>0</v>
      </c>
      <c r="S165" s="60" t="n">
        <f aca="false">J165-R165</f>
        <v>65</v>
      </c>
      <c r="T165" s="82"/>
      <c r="U165" s="82"/>
      <c r="V165" s="83"/>
      <c r="W165" s="79"/>
      <c r="X165" s="80"/>
      <c r="Y165" s="80"/>
      <c r="Z165" s="80"/>
      <c r="AA165" s="59" t="n">
        <f aca="false">SUM(T165:Z165)</f>
        <v>0</v>
      </c>
      <c r="AB165" s="60" t="n">
        <f aca="false">S165-AA165</f>
        <v>65</v>
      </c>
      <c r="AC165" s="80"/>
      <c r="AD165" s="80"/>
      <c r="AE165" s="80" t="n">
        <v>15</v>
      </c>
      <c r="AF165" s="80"/>
      <c r="AG165" s="80"/>
      <c r="AH165" s="80"/>
      <c r="AI165" s="83"/>
      <c r="AJ165" s="65" t="n">
        <f aca="false">SUM(AC165:AI165)</f>
        <v>15</v>
      </c>
      <c r="AK165" s="60" t="n">
        <f aca="false">AB165-AJ165</f>
        <v>50</v>
      </c>
      <c r="AL165" s="80"/>
      <c r="AM165" s="80"/>
      <c r="AN165" s="80"/>
      <c r="AO165" s="80"/>
      <c r="AP165" s="75"/>
      <c r="AQ165" s="75"/>
      <c r="AR165" s="75"/>
      <c r="AS165" s="60" t="n">
        <f aca="false">SUM(AL165:AR165)</f>
        <v>0</v>
      </c>
      <c r="AT165" s="60" t="n">
        <f aca="false">AK165-AS165</f>
        <v>50</v>
      </c>
    </row>
    <row r="166" customFormat="false" ht="13.5" hidden="false" customHeight="true" outlineLevel="0" collapsed="false">
      <c r="A166" s="76"/>
      <c r="B166" s="77" t="s">
        <v>176</v>
      </c>
      <c r="C166" s="77" t="s">
        <v>19</v>
      </c>
      <c r="D166" s="78" t="n">
        <v>3.21916666666667</v>
      </c>
      <c r="E166" s="56" t="n">
        <v>900</v>
      </c>
      <c r="F166" s="79"/>
      <c r="G166" s="80"/>
      <c r="H166" s="80"/>
      <c r="I166" s="59" t="n">
        <f aca="false">SUM(F166:H166)</f>
        <v>0</v>
      </c>
      <c r="J166" s="60" t="n">
        <f aca="false">E166-I166</f>
        <v>900</v>
      </c>
      <c r="K166" s="80"/>
      <c r="L166" s="81" t="n">
        <v>200</v>
      </c>
      <c r="M166" s="82"/>
      <c r="N166" s="82" t="n">
        <v>50</v>
      </c>
      <c r="O166" s="82"/>
      <c r="P166" s="82"/>
      <c r="Q166" s="82"/>
      <c r="R166" s="59" t="n">
        <f aca="false">SUM(K166:Q166)</f>
        <v>250</v>
      </c>
      <c r="S166" s="60" t="n">
        <f aca="false">J166-R166</f>
        <v>650</v>
      </c>
      <c r="T166" s="82"/>
      <c r="U166" s="82"/>
      <c r="V166" s="83" t="n">
        <v>200</v>
      </c>
      <c r="W166" s="79"/>
      <c r="X166" s="80"/>
      <c r="Y166" s="80"/>
      <c r="Z166" s="80"/>
      <c r="AA166" s="59" t="n">
        <f aca="false">SUM(T166:Z166)</f>
        <v>200</v>
      </c>
      <c r="AB166" s="60" t="n">
        <f aca="false">S166-AA166</f>
        <v>450</v>
      </c>
      <c r="AC166" s="80"/>
      <c r="AD166" s="80" t="n">
        <v>100</v>
      </c>
      <c r="AE166" s="80" t="n">
        <v>100</v>
      </c>
      <c r="AF166" s="80"/>
      <c r="AG166" s="80"/>
      <c r="AH166" s="80"/>
      <c r="AI166" s="83"/>
      <c r="AJ166" s="65" t="n">
        <f aca="false">SUM(AC166:AI166)</f>
        <v>200</v>
      </c>
      <c r="AK166" s="60" t="n">
        <f aca="false">AB166-AJ166</f>
        <v>250</v>
      </c>
      <c r="AL166" s="80"/>
      <c r="AM166" s="80"/>
      <c r="AN166" s="80"/>
      <c r="AO166" s="80"/>
      <c r="AP166" s="75"/>
      <c r="AQ166" s="75"/>
      <c r="AR166" s="75"/>
      <c r="AS166" s="60" t="n">
        <f aca="false">SUM(AL166:AR166)</f>
        <v>0</v>
      </c>
      <c r="AT166" s="60" t="n">
        <f aca="false">AK166-AS166</f>
        <v>250</v>
      </c>
    </row>
    <row r="167" customFormat="false" ht="13.5" hidden="false" customHeight="true" outlineLevel="0" collapsed="false">
      <c r="A167" s="76"/>
      <c r="B167" s="77" t="s">
        <v>177</v>
      </c>
      <c r="C167" s="77" t="s">
        <v>14</v>
      </c>
      <c r="D167" s="78" t="n">
        <v>883.3</v>
      </c>
      <c r="E167" s="56" t="n">
        <v>7.46</v>
      </c>
      <c r="F167" s="79"/>
      <c r="G167" s="80"/>
      <c r="H167" s="80"/>
      <c r="I167" s="59" t="n">
        <f aca="false">SUM(F167:H167)</f>
        <v>0</v>
      </c>
      <c r="J167" s="60" t="n">
        <f aca="false">E167-I167</f>
        <v>7.46</v>
      </c>
      <c r="K167" s="80"/>
      <c r="L167" s="81"/>
      <c r="M167" s="82"/>
      <c r="N167" s="82"/>
      <c r="O167" s="82" t="n">
        <v>0.85</v>
      </c>
      <c r="P167" s="82"/>
      <c r="Q167" s="82"/>
      <c r="R167" s="59" t="n">
        <f aca="false">SUM(K167:Q167)</f>
        <v>0.85</v>
      </c>
      <c r="S167" s="60" t="n">
        <f aca="false">J167-R167</f>
        <v>6.61</v>
      </c>
      <c r="T167" s="82" t="n">
        <v>0.85</v>
      </c>
      <c r="U167" s="82"/>
      <c r="V167" s="83"/>
      <c r="W167" s="79"/>
      <c r="X167" s="80"/>
      <c r="Y167" s="80"/>
      <c r="Z167" s="80" t="n">
        <v>0.8</v>
      </c>
      <c r="AA167" s="59" t="n">
        <f aca="false">SUM(T167:Z167)</f>
        <v>1.65</v>
      </c>
      <c r="AB167" s="60" t="n">
        <f aca="false">S167-AA167</f>
        <v>4.96</v>
      </c>
      <c r="AC167" s="80"/>
      <c r="AD167" s="80"/>
      <c r="AE167" s="80"/>
      <c r="AF167" s="80"/>
      <c r="AG167" s="80"/>
      <c r="AH167" s="80"/>
      <c r="AI167" s="83"/>
      <c r="AJ167" s="65" t="n">
        <f aca="false">SUM(AC167:AI167)</f>
        <v>0</v>
      </c>
      <c r="AK167" s="60" t="n">
        <f aca="false">AB167-AJ167</f>
        <v>4.96</v>
      </c>
      <c r="AL167" s="80"/>
      <c r="AM167" s="80"/>
      <c r="AN167" s="80"/>
      <c r="AO167" s="80"/>
      <c r="AP167" s="75"/>
      <c r="AQ167" s="75"/>
      <c r="AR167" s="75"/>
      <c r="AS167" s="60" t="n">
        <f aca="false">SUM(AL167:AR167)</f>
        <v>0</v>
      </c>
      <c r="AT167" s="60" t="n">
        <f aca="false">AK167-AS167</f>
        <v>4.96</v>
      </c>
    </row>
    <row r="168" customFormat="false" ht="13.5" hidden="false" customHeight="true" outlineLevel="0" collapsed="false">
      <c r="A168" s="76"/>
      <c r="B168" s="77" t="s">
        <v>178</v>
      </c>
      <c r="C168" s="77" t="s">
        <v>14</v>
      </c>
      <c r="D168" s="78" t="n">
        <v>366.666666666667</v>
      </c>
      <c r="E168" s="56" t="n">
        <v>11.9</v>
      </c>
      <c r="F168" s="79"/>
      <c r="G168" s="80"/>
      <c r="H168" s="80"/>
      <c r="I168" s="59" t="n">
        <f aca="false">SUM(F168:H168)</f>
        <v>0</v>
      </c>
      <c r="J168" s="60" t="n">
        <f aca="false">E168-I168</f>
        <v>11.9</v>
      </c>
      <c r="K168" s="80"/>
      <c r="L168" s="81"/>
      <c r="M168" s="82"/>
      <c r="N168" s="82"/>
      <c r="O168" s="82"/>
      <c r="P168" s="82" t="n">
        <v>2</v>
      </c>
      <c r="Q168" s="82"/>
      <c r="R168" s="59" t="n">
        <f aca="false">SUM(K168:Q168)</f>
        <v>2</v>
      </c>
      <c r="S168" s="60" t="n">
        <f aca="false">J168-R168</f>
        <v>9.9</v>
      </c>
      <c r="T168" s="82"/>
      <c r="U168" s="82"/>
      <c r="V168" s="83"/>
      <c r="W168" s="79"/>
      <c r="X168" s="80"/>
      <c r="Y168" s="80"/>
      <c r="Z168" s="80"/>
      <c r="AA168" s="59" t="n">
        <f aca="false">SUM(T168:Z168)</f>
        <v>0</v>
      </c>
      <c r="AB168" s="60" t="n">
        <f aca="false">S168-AA168</f>
        <v>9.9</v>
      </c>
      <c r="AC168" s="80"/>
      <c r="AD168" s="80"/>
      <c r="AE168" s="80"/>
      <c r="AF168" s="80"/>
      <c r="AG168" s="80"/>
      <c r="AH168" s="80"/>
      <c r="AI168" s="83"/>
      <c r="AJ168" s="65" t="n">
        <f aca="false">SUM(AC168:AI168)</f>
        <v>0</v>
      </c>
      <c r="AK168" s="60" t="n">
        <f aca="false">AB168-AJ168</f>
        <v>9.9</v>
      </c>
      <c r="AL168" s="80"/>
      <c r="AM168" s="80"/>
      <c r="AN168" s="80"/>
      <c r="AO168" s="80"/>
      <c r="AP168" s="75"/>
      <c r="AQ168" s="75"/>
      <c r="AR168" s="75"/>
      <c r="AS168" s="60" t="n">
        <f aca="false">SUM(AL168:AR168)</f>
        <v>0</v>
      </c>
      <c r="AT168" s="60" t="n">
        <f aca="false">AK168-AS168</f>
        <v>9.9</v>
      </c>
    </row>
    <row r="169" customFormat="false" ht="13.5" hidden="false" customHeight="true" outlineLevel="0" collapsed="false">
      <c r="A169" s="76"/>
      <c r="B169" s="77" t="s">
        <v>179</v>
      </c>
      <c r="C169" s="77" t="s">
        <v>19</v>
      </c>
      <c r="D169" s="78" t="n">
        <v>2.63</v>
      </c>
      <c r="E169" s="56" t="n">
        <v>1500</v>
      </c>
      <c r="F169" s="79"/>
      <c r="G169" s="80"/>
      <c r="H169" s="80"/>
      <c r="I169" s="59" t="n">
        <f aca="false">SUM(F169:H169)</f>
        <v>0</v>
      </c>
      <c r="J169" s="60" t="n">
        <f aca="false">E169-I169</f>
        <v>1500</v>
      </c>
      <c r="K169" s="80"/>
      <c r="L169" s="81"/>
      <c r="M169" s="82"/>
      <c r="N169" s="82"/>
      <c r="O169" s="82"/>
      <c r="P169" s="82"/>
      <c r="Q169" s="82"/>
      <c r="R169" s="59" t="n">
        <f aca="false">SUM(K169:Q169)</f>
        <v>0</v>
      </c>
      <c r="S169" s="60" t="n">
        <f aca="false">J169-R169</f>
        <v>1500</v>
      </c>
      <c r="T169" s="82"/>
      <c r="U169" s="82" t="n">
        <v>100</v>
      </c>
      <c r="V169" s="83"/>
      <c r="W169" s="79" t="n">
        <v>50</v>
      </c>
      <c r="X169" s="80"/>
      <c r="Y169" s="80"/>
      <c r="Z169" s="80"/>
      <c r="AA169" s="59" t="n">
        <f aca="false">SUM(T169:Z169)</f>
        <v>150</v>
      </c>
      <c r="AB169" s="60" t="n">
        <f aca="false">S169-AA169</f>
        <v>1350</v>
      </c>
      <c r="AC169" s="80"/>
      <c r="AD169" s="80"/>
      <c r="AE169" s="80"/>
      <c r="AF169" s="80"/>
      <c r="AG169" s="80"/>
      <c r="AH169" s="80"/>
      <c r="AI169" s="83"/>
      <c r="AJ169" s="65" t="n">
        <f aca="false">SUM(AC169:AI169)</f>
        <v>0</v>
      </c>
      <c r="AK169" s="60" t="n">
        <f aca="false">AB169-AJ169</f>
        <v>1350</v>
      </c>
      <c r="AL169" s="80"/>
      <c r="AM169" s="80"/>
      <c r="AN169" s="80"/>
      <c r="AO169" s="80"/>
      <c r="AP169" s="75"/>
      <c r="AQ169" s="75"/>
      <c r="AR169" s="75"/>
      <c r="AS169" s="60" t="n">
        <f aca="false">SUM(AL169:AR169)</f>
        <v>0</v>
      </c>
      <c r="AT169" s="60" t="n">
        <f aca="false">AK169-AS169</f>
        <v>1350</v>
      </c>
    </row>
    <row r="170" customFormat="false" ht="13.5" hidden="false" customHeight="true" outlineLevel="0" collapsed="false">
      <c r="A170" s="76"/>
      <c r="B170" s="77" t="s">
        <v>180</v>
      </c>
      <c r="C170" s="77" t="s">
        <v>14</v>
      </c>
      <c r="D170" s="78" t="n">
        <v>546.7</v>
      </c>
      <c r="E170" s="56" t="n">
        <v>18.3</v>
      </c>
      <c r="F170" s="79"/>
      <c r="G170" s="80"/>
      <c r="H170" s="80"/>
      <c r="I170" s="59" t="n">
        <f aca="false">SUM(F170:H170)</f>
        <v>0</v>
      </c>
      <c r="J170" s="60" t="n">
        <f aca="false">E170-I170</f>
        <v>18.3</v>
      </c>
      <c r="K170" s="80"/>
      <c r="L170" s="81"/>
      <c r="M170" s="82"/>
      <c r="N170" s="82"/>
      <c r="O170" s="82"/>
      <c r="P170" s="82"/>
      <c r="Q170" s="82"/>
      <c r="R170" s="59" t="n">
        <f aca="false">SUM(K170:Q170)</f>
        <v>0</v>
      </c>
      <c r="S170" s="60" t="n">
        <f aca="false">J170-R170</f>
        <v>18.3</v>
      </c>
      <c r="T170" s="82"/>
      <c r="U170" s="82"/>
      <c r="V170" s="83"/>
      <c r="W170" s="79"/>
      <c r="X170" s="80"/>
      <c r="Y170" s="80"/>
      <c r="Z170" s="80"/>
      <c r="AA170" s="59" t="n">
        <f aca="false">SUM(T170:Z170)</f>
        <v>0</v>
      </c>
      <c r="AB170" s="60" t="n">
        <f aca="false">S170-AA170</f>
        <v>18.3</v>
      </c>
      <c r="AC170" s="80"/>
      <c r="AD170" s="80"/>
      <c r="AE170" s="80"/>
      <c r="AF170" s="80"/>
      <c r="AG170" s="80"/>
      <c r="AH170" s="80"/>
      <c r="AI170" s="83"/>
      <c r="AJ170" s="65" t="n">
        <f aca="false">SUM(AC170:AI170)</f>
        <v>0</v>
      </c>
      <c r="AK170" s="60" t="n">
        <f aca="false">AB170-AJ170</f>
        <v>18.3</v>
      </c>
      <c r="AL170" s="80"/>
      <c r="AM170" s="80"/>
      <c r="AN170" s="80"/>
      <c r="AO170" s="80"/>
      <c r="AP170" s="75"/>
      <c r="AQ170" s="75"/>
      <c r="AR170" s="75"/>
      <c r="AS170" s="60" t="n">
        <f aca="false">SUM(AL170:AR170)</f>
        <v>0</v>
      </c>
      <c r="AT170" s="60" t="n">
        <f aca="false">AK170-AS170</f>
        <v>18.3</v>
      </c>
    </row>
    <row r="171" customFormat="false" ht="13.5" hidden="false" customHeight="true" outlineLevel="0" collapsed="false">
      <c r="A171" s="76"/>
      <c r="B171" s="77" t="s">
        <v>181</v>
      </c>
      <c r="C171" s="77" t="s">
        <v>14</v>
      </c>
      <c r="D171" s="78" t="n">
        <v>407</v>
      </c>
      <c r="E171" s="56" t="n">
        <v>35</v>
      </c>
      <c r="F171" s="79"/>
      <c r="G171" s="80"/>
      <c r="H171" s="80"/>
      <c r="I171" s="59" t="n">
        <f aca="false">SUM(F171:H171)</f>
        <v>0</v>
      </c>
      <c r="J171" s="60" t="n">
        <f aca="false">E171-I171</f>
        <v>35</v>
      </c>
      <c r="K171" s="80"/>
      <c r="L171" s="81"/>
      <c r="M171" s="82" t="n">
        <v>5.7</v>
      </c>
      <c r="N171" s="82"/>
      <c r="O171" s="82"/>
      <c r="P171" s="82"/>
      <c r="Q171" s="82"/>
      <c r="R171" s="59" t="n">
        <f aca="false">SUM(K171:Q171)</f>
        <v>5.7</v>
      </c>
      <c r="S171" s="60" t="n">
        <f aca="false">J171-R171</f>
        <v>29.3</v>
      </c>
      <c r="T171" s="82"/>
      <c r="U171" s="82"/>
      <c r="V171" s="83" t="n">
        <v>0.48</v>
      </c>
      <c r="W171" s="79"/>
      <c r="X171" s="80"/>
      <c r="Y171" s="80"/>
      <c r="Z171" s="80"/>
      <c r="AA171" s="59" t="n">
        <f aca="false">SUM(T171:Z171)</f>
        <v>0.48</v>
      </c>
      <c r="AB171" s="60" t="n">
        <f aca="false">S171-AA171</f>
        <v>28.82</v>
      </c>
      <c r="AC171" s="80"/>
      <c r="AD171" s="80"/>
      <c r="AE171" s="80"/>
      <c r="AF171" s="80"/>
      <c r="AG171" s="80"/>
      <c r="AH171" s="80"/>
      <c r="AI171" s="83"/>
      <c r="AJ171" s="65" t="n">
        <f aca="false">SUM(AC171:AI171)</f>
        <v>0</v>
      </c>
      <c r="AK171" s="60" t="n">
        <f aca="false">AB171-AJ171</f>
        <v>28.82</v>
      </c>
      <c r="AL171" s="80"/>
      <c r="AM171" s="80"/>
      <c r="AN171" s="80"/>
      <c r="AO171" s="80"/>
      <c r="AP171" s="75"/>
      <c r="AQ171" s="75"/>
      <c r="AR171" s="75"/>
      <c r="AS171" s="60" t="n">
        <f aca="false">SUM(AL171:AR171)</f>
        <v>0</v>
      </c>
      <c r="AT171" s="60" t="n">
        <f aca="false">AK171-AS171</f>
        <v>28.82</v>
      </c>
    </row>
    <row r="172" customFormat="false" ht="13.5" hidden="false" customHeight="true" outlineLevel="0" collapsed="false">
      <c r="A172" s="76"/>
      <c r="B172" s="77" t="s">
        <v>182</v>
      </c>
      <c r="C172" s="77" t="s">
        <v>14</v>
      </c>
      <c r="D172" s="78" t="n">
        <v>234.3</v>
      </c>
      <c r="E172" s="56" t="n">
        <v>20</v>
      </c>
      <c r="F172" s="79"/>
      <c r="G172" s="80"/>
      <c r="H172" s="80"/>
      <c r="I172" s="59" t="n">
        <f aca="false">SUM(F172:H172)</f>
        <v>0</v>
      </c>
      <c r="J172" s="60" t="n">
        <f aca="false">E172-I172</f>
        <v>20</v>
      </c>
      <c r="K172" s="80"/>
      <c r="L172" s="81"/>
      <c r="M172" s="82"/>
      <c r="N172" s="82"/>
      <c r="O172" s="82"/>
      <c r="P172" s="82"/>
      <c r="Q172" s="82"/>
      <c r="R172" s="59" t="n">
        <f aca="false">SUM(K172:Q172)</f>
        <v>0</v>
      </c>
      <c r="S172" s="60" t="n">
        <f aca="false">J172-R172</f>
        <v>20</v>
      </c>
      <c r="T172" s="82" t="n">
        <v>10</v>
      </c>
      <c r="U172" s="82"/>
      <c r="V172" s="83"/>
      <c r="W172" s="79"/>
      <c r="X172" s="80"/>
      <c r="Y172" s="80"/>
      <c r="Z172" s="80"/>
      <c r="AA172" s="59" t="n">
        <f aca="false">SUM(T172:Z172)</f>
        <v>10</v>
      </c>
      <c r="AB172" s="60" t="n">
        <f aca="false">S172-AA172</f>
        <v>10</v>
      </c>
      <c r="AC172" s="80"/>
      <c r="AD172" s="80"/>
      <c r="AE172" s="80"/>
      <c r="AF172" s="80"/>
      <c r="AG172" s="80"/>
      <c r="AH172" s="80"/>
      <c r="AI172" s="83"/>
      <c r="AJ172" s="65" t="n">
        <f aca="false">SUM(AC172:AI172)</f>
        <v>0</v>
      </c>
      <c r="AK172" s="60" t="n">
        <f aca="false">AB172-AJ172</f>
        <v>10</v>
      </c>
      <c r="AL172" s="80"/>
      <c r="AM172" s="80"/>
      <c r="AN172" s="80"/>
      <c r="AO172" s="80"/>
      <c r="AP172" s="75"/>
      <c r="AQ172" s="75"/>
      <c r="AR172" s="75"/>
      <c r="AS172" s="60" t="n">
        <f aca="false">SUM(AL172:AR172)</f>
        <v>0</v>
      </c>
      <c r="AT172" s="60" t="n">
        <f aca="false">AK172-AS172</f>
        <v>10</v>
      </c>
    </row>
    <row r="173" customFormat="false" ht="13.5" hidden="false" customHeight="true" outlineLevel="0" collapsed="false">
      <c r="A173" s="76"/>
      <c r="B173" s="77" t="s">
        <v>183</v>
      </c>
      <c r="C173" s="77" t="s">
        <v>14</v>
      </c>
      <c r="D173" s="78" t="n">
        <v>891</v>
      </c>
      <c r="E173" s="56" t="n">
        <v>40</v>
      </c>
      <c r="F173" s="79"/>
      <c r="G173" s="80"/>
      <c r="H173" s="80"/>
      <c r="I173" s="59" t="n">
        <f aca="false">SUM(F173:H173)</f>
        <v>0</v>
      </c>
      <c r="J173" s="60" t="n">
        <f aca="false">E173-I173</f>
        <v>40</v>
      </c>
      <c r="K173" s="80"/>
      <c r="L173" s="81"/>
      <c r="M173" s="82"/>
      <c r="N173" s="82"/>
      <c r="O173" s="82"/>
      <c r="P173" s="82"/>
      <c r="Q173" s="82"/>
      <c r="R173" s="59" t="n">
        <f aca="false">SUM(K173:Q173)</f>
        <v>0</v>
      </c>
      <c r="S173" s="60" t="n">
        <f aca="false">J173-R173+20</f>
        <v>60</v>
      </c>
      <c r="T173" s="82"/>
      <c r="U173" s="82"/>
      <c r="V173" s="83"/>
      <c r="W173" s="79"/>
      <c r="X173" s="80"/>
      <c r="Y173" s="80"/>
      <c r="Z173" s="80"/>
      <c r="AA173" s="59" t="n">
        <f aca="false">SUM(T173:Z173)</f>
        <v>0</v>
      </c>
      <c r="AB173" s="60" t="n">
        <f aca="false">S173-AA173</f>
        <v>60</v>
      </c>
      <c r="AC173" s="80"/>
      <c r="AD173" s="80" t="n">
        <v>10</v>
      </c>
      <c r="AE173" s="80"/>
      <c r="AF173" s="80"/>
      <c r="AG173" s="80"/>
      <c r="AH173" s="80"/>
      <c r="AI173" s="83"/>
      <c r="AJ173" s="65" t="n">
        <f aca="false">SUM(AC173:AI173)</f>
        <v>10</v>
      </c>
      <c r="AK173" s="60" t="n">
        <f aca="false">AB173-AJ173</f>
        <v>50</v>
      </c>
      <c r="AL173" s="80"/>
      <c r="AM173" s="80"/>
      <c r="AN173" s="80"/>
      <c r="AO173" s="80"/>
      <c r="AP173" s="75"/>
      <c r="AQ173" s="75"/>
      <c r="AR173" s="75"/>
      <c r="AS173" s="60" t="n">
        <f aca="false">SUM(AL173:AR173)</f>
        <v>0</v>
      </c>
      <c r="AT173" s="60" t="n">
        <f aca="false">AK173-AS173</f>
        <v>50</v>
      </c>
    </row>
    <row r="174" customFormat="false" ht="13.5" hidden="false" customHeight="true" outlineLevel="0" collapsed="false">
      <c r="A174" s="76"/>
      <c r="B174" s="77" t="s">
        <v>184</v>
      </c>
      <c r="C174" s="77" t="s">
        <v>14</v>
      </c>
      <c r="D174" s="78" t="n">
        <v>385</v>
      </c>
      <c r="E174" s="56"/>
      <c r="F174" s="79"/>
      <c r="G174" s="80"/>
      <c r="H174" s="80"/>
      <c r="I174" s="59"/>
      <c r="J174" s="60"/>
      <c r="K174" s="80"/>
      <c r="L174" s="81"/>
      <c r="M174" s="82"/>
      <c r="N174" s="82"/>
      <c r="O174" s="82"/>
      <c r="P174" s="82"/>
      <c r="Q174" s="82"/>
      <c r="R174" s="59" t="n">
        <f aca="false">SUM(K174:Q174)</f>
        <v>0</v>
      </c>
      <c r="S174" s="60" t="n">
        <v>20</v>
      </c>
      <c r="T174" s="82"/>
      <c r="U174" s="82"/>
      <c r="V174" s="83"/>
      <c r="W174" s="79"/>
      <c r="X174" s="80"/>
      <c r="Y174" s="80"/>
      <c r="Z174" s="80"/>
      <c r="AA174" s="59" t="n">
        <f aca="false">SUM(T174:Z174)</f>
        <v>0</v>
      </c>
      <c r="AB174" s="60" t="n">
        <f aca="false">S174-AA174</f>
        <v>20</v>
      </c>
      <c r="AC174" s="80"/>
      <c r="AD174" s="80"/>
      <c r="AE174" s="80"/>
      <c r="AF174" s="80"/>
      <c r="AG174" s="80"/>
      <c r="AH174" s="80"/>
      <c r="AI174" s="83"/>
      <c r="AJ174" s="65" t="n">
        <f aca="false">SUM(AC174:AI174)</f>
        <v>0</v>
      </c>
      <c r="AK174" s="60" t="n">
        <f aca="false">AB174-AJ176</f>
        <v>-700</v>
      </c>
      <c r="AL174" s="80"/>
      <c r="AM174" s="80"/>
      <c r="AN174" s="80"/>
      <c r="AO174" s="80"/>
      <c r="AP174" s="75"/>
      <c r="AQ174" s="75"/>
      <c r="AR174" s="75"/>
      <c r="AS174" s="60" t="n">
        <f aca="false">SUM(AL174:AR174)</f>
        <v>0</v>
      </c>
      <c r="AT174" s="60" t="n">
        <f aca="false">AK174-AS174</f>
        <v>-700</v>
      </c>
    </row>
    <row r="175" customFormat="false" ht="13.5" hidden="false" customHeight="true" outlineLevel="0" collapsed="false">
      <c r="A175" s="76"/>
      <c r="B175" s="77" t="s">
        <v>185</v>
      </c>
      <c r="C175" s="77" t="s">
        <v>14</v>
      </c>
      <c r="D175" s="78" t="n">
        <v>1379</v>
      </c>
      <c r="E175" s="56"/>
      <c r="F175" s="79"/>
      <c r="G175" s="80"/>
      <c r="H175" s="80"/>
      <c r="I175" s="59"/>
      <c r="J175" s="60"/>
      <c r="K175" s="80"/>
      <c r="L175" s="81"/>
      <c r="M175" s="82"/>
      <c r="N175" s="82"/>
      <c r="O175" s="82"/>
      <c r="P175" s="82"/>
      <c r="Q175" s="82"/>
      <c r="R175" s="59" t="n">
        <f aca="false">SUM(K175:Q175)</f>
        <v>0</v>
      </c>
      <c r="S175" s="60" t="n">
        <v>20</v>
      </c>
      <c r="T175" s="82"/>
      <c r="U175" s="82"/>
      <c r="V175" s="83"/>
      <c r="W175" s="79"/>
      <c r="X175" s="80"/>
      <c r="Y175" s="80"/>
      <c r="Z175" s="80"/>
      <c r="AA175" s="59" t="n">
        <f aca="false">SUM(T175:Z175)</f>
        <v>0</v>
      </c>
      <c r="AB175" s="60" t="n">
        <f aca="false">S175-AA175</f>
        <v>20</v>
      </c>
      <c r="AC175" s="80"/>
      <c r="AD175" s="80"/>
      <c r="AE175" s="80"/>
      <c r="AF175" s="80"/>
      <c r="AG175" s="80"/>
      <c r="AH175" s="80"/>
      <c r="AI175" s="83"/>
      <c r="AJ175" s="65" t="n">
        <f aca="false">SUM(AC175:AI175)</f>
        <v>0</v>
      </c>
      <c r="AK175" s="60" t="n">
        <f aca="false">AB175-AJ177</f>
        <v>20</v>
      </c>
      <c r="AL175" s="80"/>
      <c r="AM175" s="80"/>
      <c r="AN175" s="80"/>
      <c r="AO175" s="80"/>
      <c r="AP175" s="75"/>
      <c r="AQ175" s="75"/>
      <c r="AR175" s="75"/>
      <c r="AS175" s="60" t="n">
        <f aca="false">SUM(AL175:AR175)</f>
        <v>0</v>
      </c>
      <c r="AT175" s="60" t="n">
        <f aca="false">AK175-AS175</f>
        <v>20</v>
      </c>
    </row>
    <row r="176" customFormat="false" ht="13.5" hidden="false" customHeight="true" outlineLevel="0" collapsed="false">
      <c r="A176" s="76"/>
      <c r="B176" s="77" t="s">
        <v>186</v>
      </c>
      <c r="C176" s="77" t="s">
        <v>19</v>
      </c>
      <c r="D176" s="78" t="n">
        <v>8</v>
      </c>
      <c r="E176" s="56" t="n">
        <v>3770</v>
      </c>
      <c r="F176" s="79"/>
      <c r="G176" s="80"/>
      <c r="H176" s="80" t="n">
        <v>360</v>
      </c>
      <c r="I176" s="59" t="n">
        <f aca="false">SUM(F176:H176)</f>
        <v>360</v>
      </c>
      <c r="J176" s="60" t="n">
        <f aca="false">E176-I176</f>
        <v>3410</v>
      </c>
      <c r="K176" s="80"/>
      <c r="L176" s="81"/>
      <c r="M176" s="82" t="n">
        <v>360</v>
      </c>
      <c r="N176" s="82"/>
      <c r="O176" s="82" t="n">
        <v>360</v>
      </c>
      <c r="P176" s="82"/>
      <c r="Q176" s="82"/>
      <c r="R176" s="59" t="n">
        <f aca="false">SUM(K176:Q176)</f>
        <v>720</v>
      </c>
      <c r="S176" s="60" t="n">
        <f aca="false">J176-R176</f>
        <v>2690</v>
      </c>
      <c r="T176" s="82" t="n">
        <v>360</v>
      </c>
      <c r="U176" s="82"/>
      <c r="V176" s="83" t="n">
        <v>360</v>
      </c>
      <c r="W176" s="79"/>
      <c r="X176" s="80" t="n">
        <v>360</v>
      </c>
      <c r="Y176" s="80"/>
      <c r="Z176" s="80"/>
      <c r="AA176" s="59" t="n">
        <f aca="false">SUM(T176:Z176)</f>
        <v>1080</v>
      </c>
      <c r="AB176" s="60" t="n">
        <f aca="false">S176-AA176</f>
        <v>1610</v>
      </c>
      <c r="AC176" s="80" t="n">
        <v>360</v>
      </c>
      <c r="AD176" s="80"/>
      <c r="AE176" s="80" t="n">
        <v>360</v>
      </c>
      <c r="AF176" s="80"/>
      <c r="AG176" s="80"/>
      <c r="AH176" s="80"/>
      <c r="AI176" s="83"/>
      <c r="AJ176" s="65" t="n">
        <f aca="false">SUM(AC176:AI176)</f>
        <v>720</v>
      </c>
      <c r="AK176" s="60" t="n">
        <f aca="false">AB176-AJ176</f>
        <v>890</v>
      </c>
      <c r="AL176" s="80"/>
      <c r="AM176" s="80"/>
      <c r="AN176" s="80"/>
      <c r="AO176" s="80"/>
      <c r="AP176" s="75"/>
      <c r="AQ176" s="75"/>
      <c r="AR176" s="75"/>
      <c r="AS176" s="60" t="n">
        <f aca="false">SUM(AL176:AR176)</f>
        <v>0</v>
      </c>
      <c r="AT176" s="60" t="n">
        <f aca="false">AK176-AS176</f>
        <v>890</v>
      </c>
    </row>
    <row r="177" customFormat="false" ht="13.5" hidden="false" customHeight="true" outlineLevel="0" collapsed="false">
      <c r="A177" s="76"/>
      <c r="B177" s="77" t="s">
        <v>187</v>
      </c>
      <c r="C177" s="77"/>
      <c r="D177" s="78"/>
      <c r="E177" s="56" t="n">
        <v>3</v>
      </c>
      <c r="F177" s="79"/>
      <c r="G177" s="80"/>
      <c r="H177" s="80"/>
      <c r="I177" s="59" t="n">
        <f aca="false">SUM(F177:H177)</f>
        <v>0</v>
      </c>
      <c r="J177" s="60" t="n">
        <f aca="false">E177-I177</f>
        <v>3</v>
      </c>
      <c r="K177" s="80"/>
      <c r="L177" s="81"/>
      <c r="M177" s="82"/>
      <c r="N177" s="82"/>
      <c r="O177" s="82"/>
      <c r="P177" s="82"/>
      <c r="Q177" s="82"/>
      <c r="R177" s="59" t="n">
        <f aca="false">SUM(K177:Q177)</f>
        <v>0</v>
      </c>
      <c r="S177" s="60" t="n">
        <f aca="false">J177-R177</f>
        <v>3</v>
      </c>
      <c r="T177" s="82"/>
      <c r="U177" s="82"/>
      <c r="V177" s="83"/>
      <c r="W177" s="79"/>
      <c r="X177" s="80"/>
      <c r="Y177" s="80"/>
      <c r="Z177" s="80"/>
      <c r="AA177" s="59" t="n">
        <f aca="false">SUM(T177:Z177)</f>
        <v>0</v>
      </c>
      <c r="AB177" s="60" t="n">
        <f aca="false">S177-AA177</f>
        <v>3</v>
      </c>
      <c r="AC177" s="80"/>
      <c r="AD177" s="80"/>
      <c r="AE177" s="80"/>
      <c r="AF177" s="80"/>
      <c r="AG177" s="80"/>
      <c r="AH177" s="80"/>
      <c r="AI177" s="83"/>
      <c r="AJ177" s="65" t="n">
        <f aca="false">SUM(AC177:AI177)</f>
        <v>0</v>
      </c>
      <c r="AK177" s="60" t="n">
        <f aca="false">AB177-AJ177</f>
        <v>3</v>
      </c>
      <c r="AL177" s="80"/>
      <c r="AM177" s="80"/>
      <c r="AN177" s="80"/>
      <c r="AO177" s="80"/>
      <c r="AP177" s="75"/>
      <c r="AQ177" s="75"/>
      <c r="AR177" s="75"/>
      <c r="AS177" s="60" t="n">
        <f aca="false">SUM(AL177:AR177)</f>
        <v>0</v>
      </c>
      <c r="AT177" s="60" t="n">
        <f aca="false">AK177-AS177</f>
        <v>3</v>
      </c>
    </row>
    <row r="178" customFormat="false" ht="13.5" hidden="false" customHeight="true" outlineLevel="0" collapsed="false">
      <c r="A178" s="76"/>
      <c r="B178" s="77" t="s">
        <v>188</v>
      </c>
      <c r="C178" s="77"/>
      <c r="D178" s="78"/>
      <c r="E178" s="56" t="n">
        <v>0</v>
      </c>
      <c r="F178" s="79"/>
      <c r="G178" s="80"/>
      <c r="H178" s="80"/>
      <c r="I178" s="59" t="n">
        <f aca="false">SUM(F178:H178)</f>
        <v>0</v>
      </c>
      <c r="J178" s="60" t="n">
        <f aca="false">E178-I178</f>
        <v>0</v>
      </c>
      <c r="K178" s="80"/>
      <c r="L178" s="81"/>
      <c r="M178" s="82"/>
      <c r="N178" s="82"/>
      <c r="O178" s="82"/>
      <c r="P178" s="82"/>
      <c r="Q178" s="82"/>
      <c r="R178" s="59" t="n">
        <f aca="false">SUM(K178:Q178)</f>
        <v>0</v>
      </c>
      <c r="S178" s="60" t="n">
        <f aca="false">J178-R178</f>
        <v>0</v>
      </c>
      <c r="T178" s="82"/>
      <c r="U178" s="82"/>
      <c r="V178" s="83"/>
      <c r="W178" s="79"/>
      <c r="X178" s="80"/>
      <c r="Y178" s="80"/>
      <c r="Z178" s="80"/>
      <c r="AA178" s="59" t="n">
        <f aca="false">SUM(T178:Z178)</f>
        <v>0</v>
      </c>
      <c r="AB178" s="60" t="n">
        <f aca="false">S178-AA178</f>
        <v>0</v>
      </c>
      <c r="AC178" s="80"/>
      <c r="AD178" s="80"/>
      <c r="AE178" s="80"/>
      <c r="AF178" s="80"/>
      <c r="AG178" s="80"/>
      <c r="AH178" s="80"/>
      <c r="AI178" s="83"/>
      <c r="AJ178" s="65" t="n">
        <f aca="false">SUM(AC178:AI178)</f>
        <v>0</v>
      </c>
      <c r="AK178" s="60" t="n">
        <f aca="false">AB178-AJ178</f>
        <v>0</v>
      </c>
      <c r="AL178" s="80"/>
      <c r="AM178" s="80"/>
      <c r="AN178" s="80"/>
      <c r="AO178" s="80"/>
      <c r="AP178" s="75"/>
      <c r="AQ178" s="75"/>
      <c r="AR178" s="75"/>
      <c r="AS178" s="60" t="n">
        <f aca="false">SUM(AL178:AR178)</f>
        <v>0</v>
      </c>
      <c r="AT178" s="60" t="n">
        <f aca="false">AK178-AS178</f>
        <v>0</v>
      </c>
    </row>
    <row r="179" customFormat="false" ht="13.5" hidden="false" customHeight="true" outlineLevel="0" collapsed="false">
      <c r="A179" s="76"/>
      <c r="B179" s="77"/>
      <c r="C179" s="77"/>
      <c r="D179" s="78"/>
      <c r="E179" s="56" t="n">
        <v>0</v>
      </c>
      <c r="F179" s="79"/>
      <c r="G179" s="80"/>
      <c r="H179" s="80"/>
      <c r="I179" s="59" t="n">
        <f aca="false">SUM(F179:H179)</f>
        <v>0</v>
      </c>
      <c r="J179" s="60" t="n">
        <f aca="false">E179-I179</f>
        <v>0</v>
      </c>
      <c r="K179" s="80"/>
      <c r="L179" s="81"/>
      <c r="M179" s="82"/>
      <c r="N179" s="82"/>
      <c r="O179" s="82"/>
      <c r="P179" s="82"/>
      <c r="Q179" s="82"/>
      <c r="R179" s="59" t="n">
        <f aca="false">SUM(K179:Q179)</f>
        <v>0</v>
      </c>
      <c r="S179" s="60" t="n">
        <f aca="false">J179-R179</f>
        <v>0</v>
      </c>
      <c r="T179" s="82"/>
      <c r="U179" s="82"/>
      <c r="V179" s="83"/>
      <c r="W179" s="79"/>
      <c r="X179" s="80"/>
      <c r="Y179" s="80"/>
      <c r="Z179" s="80"/>
      <c r="AA179" s="59" t="n">
        <f aca="false">SUM(T179:Z179)</f>
        <v>0</v>
      </c>
      <c r="AB179" s="60" t="n">
        <f aca="false">S179-AA179</f>
        <v>0</v>
      </c>
      <c r="AC179" s="80"/>
      <c r="AD179" s="80"/>
      <c r="AE179" s="80"/>
      <c r="AF179" s="80"/>
      <c r="AG179" s="80"/>
      <c r="AH179" s="80"/>
      <c r="AI179" s="83"/>
      <c r="AJ179" s="65" t="n">
        <f aca="false">SUM(AC179:AI179)</f>
        <v>0</v>
      </c>
      <c r="AK179" s="60" t="n">
        <f aca="false">AB179-AJ179</f>
        <v>0</v>
      </c>
      <c r="AL179" s="80"/>
      <c r="AM179" s="80"/>
      <c r="AN179" s="80"/>
      <c r="AO179" s="80"/>
      <c r="AP179" s="75"/>
      <c r="AQ179" s="75"/>
      <c r="AR179" s="75"/>
      <c r="AS179" s="60" t="n">
        <f aca="false">SUM(AL179:AR179)</f>
        <v>0</v>
      </c>
      <c r="AT179" s="60" t="n">
        <f aca="false">AK179-AS179</f>
        <v>0</v>
      </c>
    </row>
    <row r="180" customFormat="false" ht="13.5" hidden="false" customHeight="true" outlineLevel="0" collapsed="false">
      <c r="A180" s="76"/>
      <c r="B180" s="77"/>
      <c r="C180" s="77"/>
      <c r="D180" s="78"/>
      <c r="E180" s="56" t="n">
        <v>0</v>
      </c>
      <c r="F180" s="79"/>
      <c r="G180" s="80"/>
      <c r="H180" s="80"/>
      <c r="I180" s="59" t="n">
        <f aca="false">SUM(F180:H180)</f>
        <v>0</v>
      </c>
      <c r="J180" s="60" t="n">
        <f aca="false">E180-I180</f>
        <v>0</v>
      </c>
      <c r="K180" s="80"/>
      <c r="L180" s="81"/>
      <c r="M180" s="82"/>
      <c r="N180" s="82"/>
      <c r="O180" s="82"/>
      <c r="P180" s="82"/>
      <c r="Q180" s="82"/>
      <c r="R180" s="59" t="n">
        <f aca="false">SUM(K180:Q180)</f>
        <v>0</v>
      </c>
      <c r="S180" s="60" t="n">
        <f aca="false">J180-R180</f>
        <v>0</v>
      </c>
      <c r="T180" s="82"/>
      <c r="U180" s="82"/>
      <c r="V180" s="83"/>
      <c r="W180" s="79"/>
      <c r="X180" s="80"/>
      <c r="Y180" s="80"/>
      <c r="Z180" s="80"/>
      <c r="AA180" s="59" t="n">
        <f aca="false">SUM(T180:Z180)</f>
        <v>0</v>
      </c>
      <c r="AB180" s="60" t="n">
        <f aca="false">S180-AA180</f>
        <v>0</v>
      </c>
      <c r="AC180" s="80"/>
      <c r="AD180" s="80"/>
      <c r="AE180" s="80"/>
      <c r="AF180" s="80"/>
      <c r="AG180" s="80"/>
      <c r="AH180" s="80"/>
      <c r="AI180" s="83"/>
      <c r="AJ180" s="65" t="n">
        <f aca="false">SUM(AC180:AI180)</f>
        <v>0</v>
      </c>
      <c r="AK180" s="60" t="n">
        <f aca="false">AB180-AJ180</f>
        <v>0</v>
      </c>
      <c r="AL180" s="80"/>
      <c r="AM180" s="80"/>
      <c r="AN180" s="80"/>
      <c r="AO180" s="80"/>
      <c r="AP180" s="75"/>
      <c r="AQ180" s="75"/>
      <c r="AR180" s="75"/>
      <c r="AS180" s="60" t="n">
        <f aca="false">SUM(AL180:AR180)</f>
        <v>0</v>
      </c>
      <c r="AT180" s="60" t="n">
        <f aca="false">AK180-AS180</f>
        <v>0</v>
      </c>
    </row>
    <row r="181" customFormat="false" ht="13.5" hidden="false" customHeight="true" outlineLevel="0" collapsed="false">
      <c r="A181" s="76"/>
      <c r="B181" s="77"/>
      <c r="C181" s="77"/>
      <c r="D181" s="78"/>
      <c r="E181" s="56" t="n">
        <v>0</v>
      </c>
      <c r="F181" s="79"/>
      <c r="G181" s="80"/>
      <c r="H181" s="80"/>
      <c r="I181" s="59" t="n">
        <f aca="false">SUM(F181:H181)</f>
        <v>0</v>
      </c>
      <c r="J181" s="60" t="n">
        <f aca="false">E181-I181</f>
        <v>0</v>
      </c>
      <c r="K181" s="80"/>
      <c r="L181" s="81"/>
      <c r="M181" s="82"/>
      <c r="N181" s="82"/>
      <c r="O181" s="82"/>
      <c r="P181" s="82"/>
      <c r="Q181" s="82"/>
      <c r="R181" s="59" t="n">
        <f aca="false">SUM(K181:Q181)</f>
        <v>0</v>
      </c>
      <c r="S181" s="60" t="n">
        <f aca="false">J181-R181</f>
        <v>0</v>
      </c>
      <c r="T181" s="82"/>
      <c r="U181" s="82"/>
      <c r="V181" s="83"/>
      <c r="W181" s="79"/>
      <c r="X181" s="80"/>
      <c r="Y181" s="80"/>
      <c r="Z181" s="80"/>
      <c r="AA181" s="59" t="n">
        <f aca="false">SUM(T181:Z181)</f>
        <v>0</v>
      </c>
      <c r="AB181" s="60" t="n">
        <f aca="false">S181-AA181</f>
        <v>0</v>
      </c>
      <c r="AC181" s="80"/>
      <c r="AD181" s="80"/>
      <c r="AE181" s="80"/>
      <c r="AF181" s="80"/>
      <c r="AG181" s="80"/>
      <c r="AH181" s="80"/>
      <c r="AI181" s="83"/>
      <c r="AJ181" s="65" t="n">
        <f aca="false">SUM(AC181:AI181)</f>
        <v>0</v>
      </c>
      <c r="AK181" s="60" t="n">
        <f aca="false">AB181-AJ181</f>
        <v>0</v>
      </c>
      <c r="AL181" s="80"/>
      <c r="AM181" s="80"/>
      <c r="AN181" s="80"/>
      <c r="AO181" s="80"/>
      <c r="AP181" s="75"/>
      <c r="AQ181" s="75"/>
      <c r="AR181" s="75"/>
      <c r="AS181" s="60" t="n">
        <f aca="false">SUM(AL181:AR181)</f>
        <v>0</v>
      </c>
      <c r="AT181" s="60" t="n">
        <f aca="false">AK181-AS181</f>
        <v>0</v>
      </c>
    </row>
    <row r="182" customFormat="false" ht="13.5" hidden="false" customHeight="true" outlineLevel="0" collapsed="false">
      <c r="A182" s="76"/>
      <c r="B182" s="77"/>
      <c r="C182" s="77"/>
      <c r="D182" s="78"/>
      <c r="E182" s="56" t="n">
        <v>0</v>
      </c>
      <c r="F182" s="79"/>
      <c r="G182" s="80"/>
      <c r="H182" s="80"/>
      <c r="I182" s="59" t="n">
        <f aca="false">SUM(F182:H182)</f>
        <v>0</v>
      </c>
      <c r="J182" s="60" t="n">
        <f aca="false">E182-I182</f>
        <v>0</v>
      </c>
      <c r="K182" s="80"/>
      <c r="L182" s="81"/>
      <c r="M182" s="82"/>
      <c r="N182" s="82"/>
      <c r="O182" s="82"/>
      <c r="P182" s="82"/>
      <c r="Q182" s="82"/>
      <c r="R182" s="59" t="n">
        <f aca="false">SUM(K182:Q182)</f>
        <v>0</v>
      </c>
      <c r="S182" s="60" t="n">
        <f aca="false">J182-R182</f>
        <v>0</v>
      </c>
      <c r="T182" s="82"/>
      <c r="U182" s="82"/>
      <c r="V182" s="83"/>
      <c r="W182" s="79"/>
      <c r="X182" s="80"/>
      <c r="Y182" s="80"/>
      <c r="Z182" s="80"/>
      <c r="AA182" s="59" t="n">
        <f aca="false">SUM(T182:Z182)</f>
        <v>0</v>
      </c>
      <c r="AB182" s="60" t="n">
        <f aca="false">S182-AA182</f>
        <v>0</v>
      </c>
      <c r="AC182" s="80"/>
      <c r="AD182" s="80"/>
      <c r="AE182" s="80"/>
      <c r="AF182" s="80"/>
      <c r="AG182" s="80"/>
      <c r="AH182" s="80"/>
      <c r="AI182" s="83"/>
      <c r="AJ182" s="65" t="n">
        <f aca="false">SUM(AC182:AI182)</f>
        <v>0</v>
      </c>
      <c r="AK182" s="60" t="n">
        <f aca="false">AB182-AJ182</f>
        <v>0</v>
      </c>
      <c r="AL182" s="80"/>
      <c r="AM182" s="80"/>
      <c r="AN182" s="80"/>
      <c r="AO182" s="80"/>
      <c r="AP182" s="75"/>
      <c r="AQ182" s="75"/>
      <c r="AR182" s="75"/>
      <c r="AS182" s="60" t="n">
        <f aca="false">SUM(AL182:AR182)</f>
        <v>0</v>
      </c>
      <c r="AT182" s="60" t="n">
        <f aca="false">AK182-AS182</f>
        <v>0</v>
      </c>
    </row>
    <row r="183" customFormat="false" ht="13.5" hidden="false" customHeight="true" outlineLevel="0" collapsed="false">
      <c r="A183" s="76"/>
      <c r="B183" s="77"/>
      <c r="C183" s="77"/>
      <c r="D183" s="78"/>
      <c r="E183" s="56" t="n">
        <v>0</v>
      </c>
      <c r="F183" s="79"/>
      <c r="G183" s="80"/>
      <c r="H183" s="80"/>
      <c r="I183" s="59" t="n">
        <f aca="false">SUM(F183:H183)</f>
        <v>0</v>
      </c>
      <c r="J183" s="60" t="n">
        <f aca="false">E183-I183</f>
        <v>0</v>
      </c>
      <c r="K183" s="80"/>
      <c r="L183" s="81"/>
      <c r="M183" s="82"/>
      <c r="N183" s="82"/>
      <c r="O183" s="82"/>
      <c r="P183" s="82"/>
      <c r="Q183" s="82"/>
      <c r="R183" s="59" t="n">
        <f aca="false">SUM(K183:Q183)</f>
        <v>0</v>
      </c>
      <c r="S183" s="60" t="n">
        <f aca="false">J183-R183</f>
        <v>0</v>
      </c>
      <c r="T183" s="82"/>
      <c r="U183" s="82"/>
      <c r="V183" s="83"/>
      <c r="W183" s="79"/>
      <c r="X183" s="80"/>
      <c r="Y183" s="80"/>
      <c r="Z183" s="80"/>
      <c r="AA183" s="59" t="n">
        <f aca="false">SUM(T183:Z183)</f>
        <v>0</v>
      </c>
      <c r="AB183" s="60" t="n">
        <f aca="false">S183-AA183</f>
        <v>0</v>
      </c>
      <c r="AC183" s="80"/>
      <c r="AD183" s="80"/>
      <c r="AE183" s="80"/>
      <c r="AF183" s="80"/>
      <c r="AG183" s="80"/>
      <c r="AH183" s="80"/>
      <c r="AI183" s="83"/>
      <c r="AJ183" s="65" t="n">
        <f aca="false">SUM(AC183:AI183)</f>
        <v>0</v>
      </c>
      <c r="AK183" s="60" t="n">
        <f aca="false">AB183-AJ183</f>
        <v>0</v>
      </c>
      <c r="AL183" s="80"/>
      <c r="AM183" s="80"/>
      <c r="AN183" s="80"/>
      <c r="AO183" s="80"/>
      <c r="AP183" s="75"/>
      <c r="AQ183" s="75"/>
      <c r="AR183" s="75"/>
      <c r="AS183" s="60" t="n">
        <f aca="false">SUM(AL183:AR183)</f>
        <v>0</v>
      </c>
      <c r="AT183" s="60" t="n">
        <f aca="false">AK183-AS183</f>
        <v>0</v>
      </c>
    </row>
    <row r="184" customFormat="false" ht="13.5" hidden="false" customHeight="true" outlineLevel="0" collapsed="false">
      <c r="A184" s="76"/>
      <c r="B184" s="77"/>
      <c r="C184" s="77"/>
      <c r="D184" s="78"/>
      <c r="E184" s="56" t="n">
        <v>0</v>
      </c>
      <c r="F184" s="79"/>
      <c r="G184" s="80"/>
      <c r="H184" s="80"/>
      <c r="I184" s="59" t="n">
        <f aca="false">SUM(F184:H184)</f>
        <v>0</v>
      </c>
      <c r="J184" s="60" t="n">
        <f aca="false">E184-I184</f>
        <v>0</v>
      </c>
      <c r="K184" s="80"/>
      <c r="L184" s="81"/>
      <c r="M184" s="82"/>
      <c r="N184" s="82"/>
      <c r="O184" s="82"/>
      <c r="P184" s="82"/>
      <c r="Q184" s="82"/>
      <c r="R184" s="59" t="n">
        <f aca="false">SUM(K184:Q184)</f>
        <v>0</v>
      </c>
      <c r="S184" s="60" t="n">
        <f aca="false">J184-R184</f>
        <v>0</v>
      </c>
      <c r="T184" s="82"/>
      <c r="U184" s="82"/>
      <c r="V184" s="83"/>
      <c r="W184" s="79"/>
      <c r="X184" s="80"/>
      <c r="Y184" s="80"/>
      <c r="Z184" s="80"/>
      <c r="AA184" s="59" t="n">
        <f aca="false">SUM(T184:Z184)</f>
        <v>0</v>
      </c>
      <c r="AB184" s="60" t="n">
        <f aca="false">S184-AA184</f>
        <v>0</v>
      </c>
      <c r="AC184" s="80"/>
      <c r="AD184" s="80"/>
      <c r="AE184" s="80"/>
      <c r="AF184" s="80"/>
      <c r="AG184" s="80"/>
      <c r="AH184" s="80"/>
      <c r="AI184" s="83"/>
      <c r="AJ184" s="65" t="n">
        <f aca="false">SUM(AC184:AI184)</f>
        <v>0</v>
      </c>
      <c r="AK184" s="60" t="n">
        <f aca="false">AB184-AJ184</f>
        <v>0</v>
      </c>
      <c r="AL184" s="80"/>
      <c r="AM184" s="80"/>
      <c r="AN184" s="80"/>
      <c r="AO184" s="80"/>
      <c r="AP184" s="75"/>
      <c r="AQ184" s="75"/>
      <c r="AR184" s="75"/>
      <c r="AS184" s="60" t="n">
        <f aca="false">SUM(AL184:AR184)</f>
        <v>0</v>
      </c>
      <c r="AT184" s="60" t="n">
        <f aca="false">AK184-AS184</f>
        <v>0</v>
      </c>
    </row>
    <row r="185" customFormat="false" ht="13.5" hidden="false" customHeight="true" outlineLevel="0" collapsed="false">
      <c r="A185" s="76"/>
      <c r="B185" s="77"/>
      <c r="C185" s="77"/>
      <c r="D185" s="78"/>
      <c r="E185" s="56" t="n">
        <v>0</v>
      </c>
      <c r="F185" s="79"/>
      <c r="G185" s="80"/>
      <c r="H185" s="80"/>
      <c r="I185" s="59" t="n">
        <f aca="false">SUM(F185:H185)</f>
        <v>0</v>
      </c>
      <c r="J185" s="60" t="n">
        <f aca="false">E185-I185</f>
        <v>0</v>
      </c>
      <c r="K185" s="80"/>
      <c r="L185" s="81"/>
      <c r="M185" s="82"/>
      <c r="N185" s="82"/>
      <c r="O185" s="82"/>
      <c r="P185" s="82"/>
      <c r="Q185" s="82"/>
      <c r="R185" s="59" t="n">
        <f aca="false">SUM(K185:Q185)</f>
        <v>0</v>
      </c>
      <c r="S185" s="60" t="n">
        <f aca="false">J185-R185</f>
        <v>0</v>
      </c>
      <c r="T185" s="82"/>
      <c r="U185" s="82"/>
      <c r="V185" s="83"/>
      <c r="W185" s="79"/>
      <c r="X185" s="80"/>
      <c r="Y185" s="80"/>
      <c r="Z185" s="80"/>
      <c r="AA185" s="59" t="n">
        <f aca="false">SUM(T185:Z185)</f>
        <v>0</v>
      </c>
      <c r="AB185" s="60" t="n">
        <f aca="false">S185-AA185</f>
        <v>0</v>
      </c>
      <c r="AC185" s="80"/>
      <c r="AD185" s="80"/>
      <c r="AE185" s="80"/>
      <c r="AF185" s="80"/>
      <c r="AG185" s="80"/>
      <c r="AH185" s="80"/>
      <c r="AI185" s="83"/>
      <c r="AJ185" s="65" t="n">
        <f aca="false">SUM(AC185:AI185)</f>
        <v>0</v>
      </c>
      <c r="AK185" s="60" t="n">
        <f aca="false">AB185-AJ185</f>
        <v>0</v>
      </c>
      <c r="AL185" s="80"/>
      <c r="AM185" s="80"/>
      <c r="AN185" s="80"/>
      <c r="AO185" s="80"/>
      <c r="AP185" s="75"/>
      <c r="AQ185" s="75"/>
      <c r="AR185" s="75"/>
      <c r="AS185" s="60" t="n">
        <f aca="false">SUM(AL185:AR185)</f>
        <v>0</v>
      </c>
      <c r="AT185" s="60" t="n">
        <f aca="false">AK185-AS185</f>
        <v>0</v>
      </c>
    </row>
    <row r="186" customFormat="false" ht="13.5" hidden="false" customHeight="true" outlineLevel="0" collapsed="false">
      <c r="A186" s="76"/>
      <c r="B186" s="77"/>
      <c r="C186" s="77"/>
      <c r="D186" s="78"/>
      <c r="E186" s="56" t="n">
        <v>0</v>
      </c>
      <c r="F186" s="79"/>
      <c r="G186" s="80"/>
      <c r="H186" s="80"/>
      <c r="I186" s="59" t="n">
        <f aca="false">SUM(F186:H186)</f>
        <v>0</v>
      </c>
      <c r="J186" s="60" t="n">
        <f aca="false">E186-I186</f>
        <v>0</v>
      </c>
      <c r="K186" s="80"/>
      <c r="L186" s="81"/>
      <c r="M186" s="82"/>
      <c r="N186" s="82"/>
      <c r="O186" s="82"/>
      <c r="P186" s="82"/>
      <c r="Q186" s="82"/>
      <c r="R186" s="59" t="n">
        <f aca="false">SUM(K186:Q186)</f>
        <v>0</v>
      </c>
      <c r="S186" s="60" t="n">
        <f aca="false">J186-R186</f>
        <v>0</v>
      </c>
      <c r="T186" s="82"/>
      <c r="U186" s="82"/>
      <c r="V186" s="83"/>
      <c r="W186" s="79"/>
      <c r="X186" s="80"/>
      <c r="Y186" s="80"/>
      <c r="Z186" s="80"/>
      <c r="AA186" s="59" t="n">
        <f aca="false">SUM(T186:Z186)</f>
        <v>0</v>
      </c>
      <c r="AB186" s="60" t="n">
        <f aca="false">S186-AA186</f>
        <v>0</v>
      </c>
      <c r="AC186" s="80"/>
      <c r="AD186" s="80"/>
      <c r="AE186" s="80"/>
      <c r="AF186" s="80"/>
      <c r="AG186" s="80"/>
      <c r="AH186" s="80"/>
      <c r="AI186" s="83"/>
      <c r="AJ186" s="65" t="n">
        <f aca="false">SUM(AC186:AI186)</f>
        <v>0</v>
      </c>
      <c r="AK186" s="60" t="n">
        <f aca="false">AB186-AJ186</f>
        <v>0</v>
      </c>
      <c r="AL186" s="80"/>
      <c r="AM186" s="80"/>
      <c r="AN186" s="80"/>
      <c r="AO186" s="80"/>
      <c r="AP186" s="75"/>
      <c r="AQ186" s="75"/>
      <c r="AR186" s="75"/>
      <c r="AS186" s="60" t="n">
        <f aca="false">SUM(AL186:AR186)</f>
        <v>0</v>
      </c>
      <c r="AT186" s="60" t="n">
        <f aca="false">AK186-AS186</f>
        <v>0</v>
      </c>
    </row>
    <row r="187" customFormat="false" ht="13.5" hidden="false" customHeight="true" outlineLevel="0" collapsed="false">
      <c r="A187" s="76"/>
      <c r="B187" s="77"/>
      <c r="C187" s="77"/>
      <c r="D187" s="78"/>
      <c r="E187" s="56" t="n">
        <v>0</v>
      </c>
      <c r="F187" s="79"/>
      <c r="G187" s="80"/>
      <c r="H187" s="80"/>
      <c r="I187" s="59" t="n">
        <f aca="false">SUM(F187:H187)</f>
        <v>0</v>
      </c>
      <c r="J187" s="60" t="n">
        <f aca="false">E187-I187</f>
        <v>0</v>
      </c>
      <c r="K187" s="80"/>
      <c r="L187" s="81"/>
      <c r="M187" s="82"/>
      <c r="N187" s="82"/>
      <c r="O187" s="82"/>
      <c r="P187" s="82"/>
      <c r="Q187" s="82"/>
      <c r="R187" s="59" t="n">
        <f aca="false">SUM(K187:Q187)</f>
        <v>0</v>
      </c>
      <c r="S187" s="60" t="n">
        <f aca="false">J187-R187</f>
        <v>0</v>
      </c>
      <c r="T187" s="82"/>
      <c r="U187" s="82"/>
      <c r="V187" s="83"/>
      <c r="W187" s="79"/>
      <c r="X187" s="80"/>
      <c r="Y187" s="80"/>
      <c r="Z187" s="80"/>
      <c r="AA187" s="59" t="n">
        <f aca="false">SUM(T187:Z187)</f>
        <v>0</v>
      </c>
      <c r="AB187" s="60" t="n">
        <f aca="false">S187-AA187</f>
        <v>0</v>
      </c>
      <c r="AC187" s="80"/>
      <c r="AD187" s="80"/>
      <c r="AE187" s="80"/>
      <c r="AF187" s="80"/>
      <c r="AG187" s="80"/>
      <c r="AH187" s="80"/>
      <c r="AI187" s="83"/>
      <c r="AJ187" s="65" t="n">
        <f aca="false">SUM(AC187:AI187)</f>
        <v>0</v>
      </c>
      <c r="AK187" s="60" t="n">
        <f aca="false">AB187-AJ187</f>
        <v>0</v>
      </c>
      <c r="AL187" s="80"/>
      <c r="AM187" s="80"/>
      <c r="AN187" s="80"/>
      <c r="AO187" s="80"/>
      <c r="AP187" s="75"/>
      <c r="AQ187" s="75"/>
      <c r="AR187" s="75"/>
      <c r="AS187" s="60" t="n">
        <f aca="false">SUM(AL187:AR187)</f>
        <v>0</v>
      </c>
      <c r="AT187" s="60" t="n">
        <f aca="false">AK187-AS187</f>
        <v>0</v>
      </c>
    </row>
    <row r="188" customFormat="false" ht="13.5" hidden="false" customHeight="true" outlineLevel="0" collapsed="false">
      <c r="A188" s="76"/>
      <c r="B188" s="77"/>
      <c r="C188" s="77"/>
      <c r="D188" s="78"/>
      <c r="E188" s="56" t="n">
        <v>0</v>
      </c>
      <c r="F188" s="79"/>
      <c r="G188" s="80"/>
      <c r="H188" s="80"/>
      <c r="I188" s="59" t="n">
        <f aca="false">SUM(F188:H188)</f>
        <v>0</v>
      </c>
      <c r="J188" s="60" t="n">
        <f aca="false">E188-I188</f>
        <v>0</v>
      </c>
      <c r="K188" s="80"/>
      <c r="L188" s="81"/>
      <c r="M188" s="82"/>
      <c r="N188" s="82"/>
      <c r="O188" s="82"/>
      <c r="P188" s="82"/>
      <c r="Q188" s="82"/>
      <c r="R188" s="59" t="n">
        <f aca="false">SUM(K188:Q188)</f>
        <v>0</v>
      </c>
      <c r="S188" s="60" t="n">
        <f aca="false">J188-R188</f>
        <v>0</v>
      </c>
      <c r="T188" s="82"/>
      <c r="U188" s="82"/>
      <c r="V188" s="83"/>
      <c r="W188" s="79"/>
      <c r="X188" s="80"/>
      <c r="Y188" s="80"/>
      <c r="Z188" s="80"/>
      <c r="AA188" s="59" t="n">
        <f aca="false">SUM(T188:Z188)</f>
        <v>0</v>
      </c>
      <c r="AB188" s="60" t="n">
        <f aca="false">S188-AA188</f>
        <v>0</v>
      </c>
      <c r="AC188" s="80"/>
      <c r="AD188" s="80"/>
      <c r="AE188" s="80"/>
      <c r="AF188" s="80"/>
      <c r="AG188" s="80"/>
      <c r="AH188" s="80"/>
      <c r="AI188" s="83"/>
      <c r="AJ188" s="65" t="n">
        <f aca="false">SUM(AC188:AI188)</f>
        <v>0</v>
      </c>
      <c r="AK188" s="60" t="n">
        <f aca="false">AB188-AJ188</f>
        <v>0</v>
      </c>
      <c r="AL188" s="80"/>
      <c r="AM188" s="80"/>
      <c r="AN188" s="80"/>
      <c r="AO188" s="80"/>
      <c r="AP188" s="75"/>
      <c r="AQ188" s="75"/>
      <c r="AR188" s="75"/>
      <c r="AS188" s="60" t="n">
        <f aca="false">SUM(AL188:AR188)</f>
        <v>0</v>
      </c>
      <c r="AT188" s="60" t="n">
        <f aca="false">AK188-AS188</f>
        <v>0</v>
      </c>
    </row>
    <row r="189" customFormat="false" ht="13.5" hidden="false" customHeight="true" outlineLevel="0" collapsed="false">
      <c r="A189" s="76"/>
      <c r="B189" s="77"/>
      <c r="C189" s="77"/>
      <c r="D189" s="78"/>
      <c r="E189" s="56" t="n">
        <v>0</v>
      </c>
      <c r="F189" s="79"/>
      <c r="G189" s="80"/>
      <c r="H189" s="80"/>
      <c r="I189" s="59" t="n">
        <f aca="false">SUM(F189:H189)</f>
        <v>0</v>
      </c>
      <c r="J189" s="60" t="n">
        <f aca="false">E189-I189</f>
        <v>0</v>
      </c>
      <c r="K189" s="80"/>
      <c r="L189" s="81"/>
      <c r="M189" s="82"/>
      <c r="N189" s="82"/>
      <c r="O189" s="82"/>
      <c r="P189" s="82"/>
      <c r="Q189" s="82"/>
      <c r="R189" s="59" t="n">
        <f aca="false">SUM(K189:Q189)</f>
        <v>0</v>
      </c>
      <c r="S189" s="60" t="n">
        <f aca="false">J189-R189</f>
        <v>0</v>
      </c>
      <c r="T189" s="82"/>
      <c r="U189" s="82"/>
      <c r="V189" s="83"/>
      <c r="W189" s="79"/>
      <c r="X189" s="80"/>
      <c r="Y189" s="80"/>
      <c r="Z189" s="80"/>
      <c r="AA189" s="59" t="n">
        <f aca="false">SUM(T189:Z189)</f>
        <v>0</v>
      </c>
      <c r="AB189" s="60" t="n">
        <f aca="false">S189-AA189</f>
        <v>0</v>
      </c>
      <c r="AC189" s="80"/>
      <c r="AD189" s="80"/>
      <c r="AE189" s="80"/>
      <c r="AF189" s="80"/>
      <c r="AG189" s="80"/>
      <c r="AH189" s="80"/>
      <c r="AI189" s="83"/>
      <c r="AJ189" s="65" t="n">
        <f aca="false">SUM(AC189:AI189)</f>
        <v>0</v>
      </c>
      <c r="AK189" s="60" t="n">
        <f aca="false">AB189-AJ189</f>
        <v>0</v>
      </c>
      <c r="AL189" s="80"/>
      <c r="AM189" s="80"/>
      <c r="AN189" s="80"/>
      <c r="AO189" s="80"/>
      <c r="AP189" s="75"/>
      <c r="AQ189" s="75"/>
      <c r="AR189" s="75"/>
      <c r="AS189" s="60" t="n">
        <f aca="false">SUM(AL189:AR189)</f>
        <v>0</v>
      </c>
      <c r="AT189" s="60" t="n">
        <f aca="false">AK189-AS189</f>
        <v>0</v>
      </c>
    </row>
    <row r="190" customFormat="false" ht="13.5" hidden="false" customHeight="true" outlineLevel="0" collapsed="false">
      <c r="A190" s="76"/>
      <c r="B190" s="77"/>
      <c r="C190" s="77"/>
      <c r="D190" s="78"/>
      <c r="E190" s="56" t="n">
        <v>0</v>
      </c>
      <c r="F190" s="79"/>
      <c r="G190" s="80"/>
      <c r="H190" s="80"/>
      <c r="I190" s="59" t="n">
        <f aca="false">SUM(F190:H190)</f>
        <v>0</v>
      </c>
      <c r="J190" s="60" t="n">
        <f aca="false">E190-I190</f>
        <v>0</v>
      </c>
      <c r="K190" s="80"/>
      <c r="L190" s="81"/>
      <c r="M190" s="82"/>
      <c r="N190" s="82"/>
      <c r="O190" s="82"/>
      <c r="P190" s="82"/>
      <c r="Q190" s="82"/>
      <c r="R190" s="59" t="n">
        <f aca="false">SUM(K190:Q190)</f>
        <v>0</v>
      </c>
      <c r="S190" s="60" t="n">
        <f aca="false">J190-R190</f>
        <v>0</v>
      </c>
      <c r="T190" s="82"/>
      <c r="U190" s="82"/>
      <c r="V190" s="83"/>
      <c r="W190" s="79"/>
      <c r="X190" s="80"/>
      <c r="Y190" s="80"/>
      <c r="Z190" s="80"/>
      <c r="AA190" s="59" t="n">
        <f aca="false">SUM(T190:Z190)</f>
        <v>0</v>
      </c>
      <c r="AB190" s="60" t="n">
        <f aca="false">S190-AA190</f>
        <v>0</v>
      </c>
      <c r="AC190" s="80"/>
      <c r="AD190" s="80"/>
      <c r="AE190" s="80"/>
      <c r="AF190" s="80"/>
      <c r="AG190" s="80"/>
      <c r="AH190" s="80"/>
      <c r="AI190" s="83"/>
      <c r="AJ190" s="65" t="n">
        <f aca="false">SUM(AC190:AI190)</f>
        <v>0</v>
      </c>
      <c r="AK190" s="60" t="n">
        <f aca="false">AB190-AJ190</f>
        <v>0</v>
      </c>
      <c r="AL190" s="80"/>
      <c r="AM190" s="80"/>
      <c r="AN190" s="80"/>
      <c r="AO190" s="80"/>
      <c r="AP190" s="75"/>
      <c r="AQ190" s="75"/>
      <c r="AR190" s="75"/>
      <c r="AS190" s="60" t="n">
        <f aca="false">SUM(AL190:AR190)</f>
        <v>0</v>
      </c>
      <c r="AT190" s="60" t="n">
        <f aca="false">AK190-AS190</f>
        <v>0</v>
      </c>
    </row>
    <row r="191" customFormat="false" ht="13.5" hidden="false" customHeight="true" outlineLevel="0" collapsed="false">
      <c r="A191" s="76"/>
      <c r="B191" s="77"/>
      <c r="C191" s="77"/>
      <c r="D191" s="78"/>
      <c r="E191" s="56" t="n">
        <v>0</v>
      </c>
      <c r="F191" s="79"/>
      <c r="G191" s="80"/>
      <c r="H191" s="80"/>
      <c r="I191" s="59" t="n">
        <f aca="false">SUM(F191:H191)</f>
        <v>0</v>
      </c>
      <c r="J191" s="60" t="n">
        <f aca="false">E191-I191</f>
        <v>0</v>
      </c>
      <c r="K191" s="80"/>
      <c r="L191" s="81"/>
      <c r="M191" s="82"/>
      <c r="N191" s="82"/>
      <c r="O191" s="82"/>
      <c r="P191" s="82"/>
      <c r="Q191" s="82"/>
      <c r="R191" s="59" t="n">
        <f aca="false">SUM(K191:Q191)</f>
        <v>0</v>
      </c>
      <c r="S191" s="60" t="n">
        <f aca="false">J191-R191</f>
        <v>0</v>
      </c>
      <c r="T191" s="82"/>
      <c r="U191" s="82"/>
      <c r="V191" s="83"/>
      <c r="W191" s="79"/>
      <c r="X191" s="80"/>
      <c r="Y191" s="80"/>
      <c r="Z191" s="80"/>
      <c r="AA191" s="59" t="n">
        <f aca="false">SUM(T191:Z191)</f>
        <v>0</v>
      </c>
      <c r="AB191" s="60" t="n">
        <f aca="false">S191-AA191</f>
        <v>0</v>
      </c>
      <c r="AC191" s="80"/>
      <c r="AD191" s="80"/>
      <c r="AE191" s="80"/>
      <c r="AF191" s="80"/>
      <c r="AG191" s="80"/>
      <c r="AH191" s="80"/>
      <c r="AI191" s="83"/>
      <c r="AJ191" s="65" t="n">
        <f aca="false">SUM(AC191:AI191)</f>
        <v>0</v>
      </c>
      <c r="AK191" s="60" t="n">
        <f aca="false">AB191-AJ191</f>
        <v>0</v>
      </c>
      <c r="AL191" s="80"/>
      <c r="AM191" s="80"/>
      <c r="AN191" s="80"/>
      <c r="AO191" s="80"/>
      <c r="AP191" s="75"/>
      <c r="AQ191" s="75"/>
      <c r="AR191" s="75"/>
      <c r="AS191" s="60" t="n">
        <f aca="false">SUM(AL191:AR191)</f>
        <v>0</v>
      </c>
      <c r="AT191" s="60" t="n">
        <f aca="false">AK191-AS191</f>
        <v>0</v>
      </c>
    </row>
    <row r="192" customFormat="false" ht="13.5" hidden="false" customHeight="true" outlineLevel="0" collapsed="false">
      <c r="A192" s="76"/>
      <c r="B192" s="77"/>
      <c r="C192" s="77"/>
      <c r="D192" s="78"/>
      <c r="E192" s="56" t="n">
        <v>0</v>
      </c>
      <c r="F192" s="79"/>
      <c r="G192" s="80"/>
      <c r="H192" s="80"/>
      <c r="I192" s="59" t="n">
        <f aca="false">SUM(F192:H192)</f>
        <v>0</v>
      </c>
      <c r="J192" s="60" t="n">
        <f aca="false">E192-I192</f>
        <v>0</v>
      </c>
      <c r="K192" s="80"/>
      <c r="L192" s="81"/>
      <c r="M192" s="82"/>
      <c r="N192" s="82"/>
      <c r="O192" s="82"/>
      <c r="P192" s="82"/>
      <c r="Q192" s="82"/>
      <c r="R192" s="59" t="n">
        <f aca="false">SUM(K192:Q192)</f>
        <v>0</v>
      </c>
      <c r="S192" s="60" t="n">
        <f aca="false">J192-R192</f>
        <v>0</v>
      </c>
      <c r="T192" s="82"/>
      <c r="U192" s="82"/>
      <c r="V192" s="83"/>
      <c r="W192" s="79"/>
      <c r="X192" s="80"/>
      <c r="Y192" s="80"/>
      <c r="Z192" s="80"/>
      <c r="AA192" s="59" t="n">
        <f aca="false">SUM(T192:Z192)</f>
        <v>0</v>
      </c>
      <c r="AB192" s="60" t="n">
        <f aca="false">S192-AA192</f>
        <v>0</v>
      </c>
      <c r="AC192" s="80"/>
      <c r="AD192" s="80"/>
      <c r="AE192" s="80"/>
      <c r="AF192" s="80"/>
      <c r="AG192" s="80"/>
      <c r="AH192" s="80"/>
      <c r="AI192" s="83"/>
      <c r="AJ192" s="65" t="n">
        <f aca="false">SUM(AC192:AI192)</f>
        <v>0</v>
      </c>
      <c r="AK192" s="60" t="n">
        <f aca="false">AB192-AJ192</f>
        <v>0</v>
      </c>
      <c r="AL192" s="80"/>
      <c r="AM192" s="80"/>
      <c r="AN192" s="80"/>
      <c r="AO192" s="80"/>
      <c r="AP192" s="75"/>
      <c r="AQ192" s="75"/>
      <c r="AR192" s="75"/>
      <c r="AS192" s="60" t="n">
        <f aca="false">SUM(AL192:AR192)</f>
        <v>0</v>
      </c>
      <c r="AT192" s="60" t="n">
        <f aca="false">AK192-AS192</f>
        <v>0</v>
      </c>
    </row>
    <row r="193" customFormat="false" ht="13.5" hidden="false" customHeight="true" outlineLevel="0" collapsed="false">
      <c r="A193" s="76"/>
      <c r="B193" s="77"/>
      <c r="C193" s="77"/>
      <c r="D193" s="78"/>
      <c r="E193" s="56" t="n">
        <v>0</v>
      </c>
      <c r="F193" s="79"/>
      <c r="G193" s="80"/>
      <c r="H193" s="80"/>
      <c r="I193" s="59" t="n">
        <f aca="false">SUM(F193:H193)</f>
        <v>0</v>
      </c>
      <c r="J193" s="60" t="n">
        <f aca="false">E193-I193</f>
        <v>0</v>
      </c>
      <c r="K193" s="80"/>
      <c r="L193" s="81"/>
      <c r="M193" s="82"/>
      <c r="N193" s="82"/>
      <c r="O193" s="82"/>
      <c r="P193" s="82"/>
      <c r="Q193" s="82"/>
      <c r="R193" s="59" t="n">
        <f aca="false">SUM(K193:Q193)</f>
        <v>0</v>
      </c>
      <c r="S193" s="60" t="n">
        <f aca="false">J193-R193</f>
        <v>0</v>
      </c>
      <c r="T193" s="82"/>
      <c r="U193" s="82"/>
      <c r="V193" s="83"/>
      <c r="W193" s="79"/>
      <c r="X193" s="80"/>
      <c r="Y193" s="80"/>
      <c r="Z193" s="80"/>
      <c r="AA193" s="59" t="n">
        <f aca="false">SUM(T193:Z193)</f>
        <v>0</v>
      </c>
      <c r="AB193" s="60" t="n">
        <f aca="false">S193-AA193</f>
        <v>0</v>
      </c>
      <c r="AC193" s="80"/>
      <c r="AD193" s="80"/>
      <c r="AE193" s="80"/>
      <c r="AF193" s="80"/>
      <c r="AG193" s="80"/>
      <c r="AH193" s="80"/>
      <c r="AI193" s="83"/>
      <c r="AJ193" s="65" t="n">
        <f aca="false">SUM(AC193:AI193)</f>
        <v>0</v>
      </c>
      <c r="AK193" s="60" t="n">
        <f aca="false">AB193-AJ193</f>
        <v>0</v>
      </c>
      <c r="AL193" s="80"/>
      <c r="AM193" s="80"/>
      <c r="AN193" s="80"/>
      <c r="AO193" s="80"/>
      <c r="AP193" s="75"/>
      <c r="AQ193" s="75"/>
      <c r="AR193" s="75"/>
      <c r="AS193" s="60" t="n">
        <f aca="false">SUM(AL193:AR193)</f>
        <v>0</v>
      </c>
      <c r="AT193" s="60" t="n">
        <f aca="false">AK193-AS193</f>
        <v>0</v>
      </c>
    </row>
    <row r="194" customFormat="false" ht="13.5" hidden="false" customHeight="true" outlineLevel="0" collapsed="false">
      <c r="A194" s="76"/>
      <c r="B194" s="77"/>
      <c r="C194" s="77"/>
      <c r="D194" s="78"/>
      <c r="E194" s="56" t="n">
        <v>0</v>
      </c>
      <c r="F194" s="79"/>
      <c r="G194" s="80"/>
      <c r="H194" s="80"/>
      <c r="I194" s="59" t="n">
        <f aca="false">SUM(F194:H194)</f>
        <v>0</v>
      </c>
      <c r="J194" s="60" t="n">
        <f aca="false">E194-I194</f>
        <v>0</v>
      </c>
      <c r="K194" s="80"/>
      <c r="L194" s="81"/>
      <c r="M194" s="82"/>
      <c r="N194" s="82"/>
      <c r="O194" s="82"/>
      <c r="P194" s="82"/>
      <c r="Q194" s="82"/>
      <c r="R194" s="59" t="n">
        <f aca="false">SUM(K194:Q194)</f>
        <v>0</v>
      </c>
      <c r="S194" s="60" t="n">
        <f aca="false">J194-R194</f>
        <v>0</v>
      </c>
      <c r="T194" s="82"/>
      <c r="U194" s="82"/>
      <c r="V194" s="83"/>
      <c r="W194" s="79"/>
      <c r="X194" s="80"/>
      <c r="Y194" s="80"/>
      <c r="Z194" s="80"/>
      <c r="AA194" s="59" t="n">
        <f aca="false">SUM(T194:Z194)</f>
        <v>0</v>
      </c>
      <c r="AB194" s="60" t="n">
        <f aca="false">S194-AA194</f>
        <v>0</v>
      </c>
      <c r="AC194" s="80"/>
      <c r="AD194" s="80"/>
      <c r="AE194" s="80"/>
      <c r="AF194" s="80"/>
      <c r="AG194" s="80"/>
      <c r="AH194" s="80"/>
      <c r="AI194" s="83"/>
      <c r="AJ194" s="65" t="n">
        <f aca="false">SUM(AC194:AI194)</f>
        <v>0</v>
      </c>
      <c r="AK194" s="60" t="n">
        <f aca="false">AB194-AJ194</f>
        <v>0</v>
      </c>
      <c r="AL194" s="80"/>
      <c r="AM194" s="80"/>
      <c r="AN194" s="80"/>
      <c r="AO194" s="80"/>
      <c r="AP194" s="75"/>
      <c r="AQ194" s="75"/>
      <c r="AR194" s="75"/>
      <c r="AS194" s="60" t="n">
        <f aca="false">SUM(AL194:AR194)</f>
        <v>0</v>
      </c>
      <c r="AT194" s="60" t="n">
        <f aca="false">AK194-AS194</f>
        <v>0</v>
      </c>
    </row>
    <row r="195" customFormat="false" ht="13.5" hidden="false" customHeight="true" outlineLevel="0" collapsed="false">
      <c r="A195" s="76"/>
      <c r="B195" s="77"/>
      <c r="C195" s="77"/>
      <c r="D195" s="78"/>
      <c r="E195" s="56" t="n">
        <v>0</v>
      </c>
      <c r="F195" s="79"/>
      <c r="G195" s="80"/>
      <c r="H195" s="80"/>
      <c r="I195" s="59" t="n">
        <f aca="false">SUM(F195:H195)</f>
        <v>0</v>
      </c>
      <c r="J195" s="60" t="n">
        <f aca="false">E195-I195</f>
        <v>0</v>
      </c>
      <c r="K195" s="80"/>
      <c r="L195" s="81"/>
      <c r="M195" s="82"/>
      <c r="N195" s="82"/>
      <c r="O195" s="82"/>
      <c r="P195" s="82"/>
      <c r="Q195" s="82"/>
      <c r="R195" s="59" t="n">
        <f aca="false">SUM(K195:Q195)</f>
        <v>0</v>
      </c>
      <c r="S195" s="60" t="n">
        <f aca="false">J195-R195</f>
        <v>0</v>
      </c>
      <c r="T195" s="82"/>
      <c r="U195" s="82"/>
      <c r="V195" s="83"/>
      <c r="W195" s="79"/>
      <c r="X195" s="80"/>
      <c r="Y195" s="80"/>
      <c r="Z195" s="80"/>
      <c r="AA195" s="59" t="n">
        <f aca="false">SUM(T195:Z195)</f>
        <v>0</v>
      </c>
      <c r="AB195" s="60" t="n">
        <f aca="false">S195-AA195</f>
        <v>0</v>
      </c>
      <c r="AC195" s="80"/>
      <c r="AD195" s="80"/>
      <c r="AE195" s="80"/>
      <c r="AF195" s="80"/>
      <c r="AG195" s="80"/>
      <c r="AH195" s="80"/>
      <c r="AI195" s="83"/>
      <c r="AJ195" s="65" t="n">
        <f aca="false">SUM(AC195:AI195)</f>
        <v>0</v>
      </c>
      <c r="AK195" s="60" t="n">
        <f aca="false">AB195-AJ195</f>
        <v>0</v>
      </c>
      <c r="AL195" s="80"/>
      <c r="AM195" s="80"/>
      <c r="AN195" s="80"/>
      <c r="AO195" s="80"/>
      <c r="AP195" s="75"/>
      <c r="AQ195" s="75"/>
      <c r="AR195" s="75"/>
      <c r="AS195" s="60" t="n">
        <f aca="false">SUM(AL195:AR195)</f>
        <v>0</v>
      </c>
      <c r="AT195" s="60" t="n">
        <f aca="false">AK195-AS195</f>
        <v>0</v>
      </c>
    </row>
    <row r="196" customFormat="false" ht="13.5" hidden="false" customHeight="true" outlineLevel="0" collapsed="false">
      <c r="A196" s="76"/>
      <c r="B196" s="77"/>
      <c r="C196" s="77"/>
      <c r="D196" s="78"/>
      <c r="E196" s="56" t="n">
        <v>0</v>
      </c>
      <c r="F196" s="79"/>
      <c r="G196" s="80"/>
      <c r="H196" s="80"/>
      <c r="I196" s="59" t="n">
        <f aca="false">SUM(F196:H196)</f>
        <v>0</v>
      </c>
      <c r="J196" s="60" t="n">
        <f aca="false">E196-I196</f>
        <v>0</v>
      </c>
      <c r="K196" s="80"/>
      <c r="L196" s="81"/>
      <c r="M196" s="82"/>
      <c r="N196" s="82"/>
      <c r="O196" s="82"/>
      <c r="P196" s="82"/>
      <c r="Q196" s="82"/>
      <c r="R196" s="59" t="n">
        <f aca="false">SUM(K196:Q196)</f>
        <v>0</v>
      </c>
      <c r="S196" s="60" t="n">
        <f aca="false">J196-R196</f>
        <v>0</v>
      </c>
      <c r="T196" s="82"/>
      <c r="U196" s="82"/>
      <c r="V196" s="83"/>
      <c r="W196" s="79"/>
      <c r="X196" s="80"/>
      <c r="Y196" s="80"/>
      <c r="Z196" s="80"/>
      <c r="AA196" s="59" t="n">
        <f aca="false">SUM(T196:Z196)</f>
        <v>0</v>
      </c>
      <c r="AB196" s="60" t="n">
        <f aca="false">S196-AA196</f>
        <v>0</v>
      </c>
      <c r="AC196" s="80"/>
      <c r="AD196" s="80"/>
      <c r="AE196" s="80"/>
      <c r="AF196" s="80"/>
      <c r="AG196" s="80"/>
      <c r="AH196" s="80"/>
      <c r="AI196" s="83"/>
      <c r="AJ196" s="65" t="n">
        <f aca="false">SUM(AC196:AI196)</f>
        <v>0</v>
      </c>
      <c r="AK196" s="60" t="n">
        <f aca="false">AB196-AJ196</f>
        <v>0</v>
      </c>
      <c r="AL196" s="80"/>
      <c r="AM196" s="80"/>
      <c r="AN196" s="80"/>
      <c r="AO196" s="80"/>
      <c r="AP196" s="75"/>
      <c r="AQ196" s="75"/>
      <c r="AR196" s="75"/>
      <c r="AS196" s="60" t="n">
        <f aca="false">SUM(AL196:AR196)</f>
        <v>0</v>
      </c>
      <c r="AT196" s="60" t="n">
        <f aca="false">AK196-AS196</f>
        <v>0</v>
      </c>
    </row>
    <row r="197" customFormat="false" ht="13.5" hidden="false" customHeight="true" outlineLevel="0" collapsed="false">
      <c r="A197" s="76"/>
      <c r="B197" s="77"/>
      <c r="C197" s="77"/>
      <c r="D197" s="78"/>
      <c r="E197" s="56" t="n">
        <v>0</v>
      </c>
      <c r="F197" s="79"/>
      <c r="G197" s="80"/>
      <c r="H197" s="80"/>
      <c r="I197" s="59" t="n">
        <f aca="false">SUM(F197:H197)</f>
        <v>0</v>
      </c>
      <c r="J197" s="60" t="n">
        <f aca="false">E197-I197</f>
        <v>0</v>
      </c>
      <c r="K197" s="80"/>
      <c r="L197" s="81"/>
      <c r="M197" s="82"/>
      <c r="N197" s="82"/>
      <c r="O197" s="82"/>
      <c r="P197" s="82"/>
      <c r="Q197" s="82"/>
      <c r="R197" s="59" t="n">
        <f aca="false">SUM(K197:Q197)</f>
        <v>0</v>
      </c>
      <c r="S197" s="60" t="n">
        <f aca="false">J197-R197</f>
        <v>0</v>
      </c>
      <c r="T197" s="82"/>
      <c r="U197" s="82"/>
      <c r="V197" s="83"/>
      <c r="W197" s="79"/>
      <c r="X197" s="80"/>
      <c r="Y197" s="80"/>
      <c r="Z197" s="80"/>
      <c r="AA197" s="59" t="n">
        <f aca="false">SUM(T197:Z197)</f>
        <v>0</v>
      </c>
      <c r="AB197" s="60" t="n">
        <f aca="false">S197-AA197</f>
        <v>0</v>
      </c>
      <c r="AC197" s="80"/>
      <c r="AD197" s="80"/>
      <c r="AE197" s="80"/>
      <c r="AF197" s="80"/>
      <c r="AG197" s="80"/>
      <c r="AH197" s="80"/>
      <c r="AI197" s="83"/>
      <c r="AJ197" s="65" t="n">
        <f aca="false">SUM(AC197:AI197)</f>
        <v>0</v>
      </c>
      <c r="AK197" s="60" t="n">
        <f aca="false">AB197-AJ197</f>
        <v>0</v>
      </c>
      <c r="AL197" s="80"/>
      <c r="AM197" s="80"/>
      <c r="AN197" s="80"/>
      <c r="AO197" s="80"/>
      <c r="AP197" s="75"/>
      <c r="AQ197" s="75"/>
      <c r="AR197" s="75"/>
      <c r="AS197" s="60" t="n">
        <f aca="false">SUM(AL197:AR197)</f>
        <v>0</v>
      </c>
      <c r="AT197" s="60" t="n">
        <f aca="false">AK197-AS197</f>
        <v>0</v>
      </c>
    </row>
    <row r="198" customFormat="false" ht="13.5" hidden="false" customHeight="true" outlineLevel="0" collapsed="false">
      <c r="A198" s="76"/>
      <c r="B198" s="77"/>
      <c r="C198" s="77"/>
      <c r="D198" s="78"/>
      <c r="E198" s="56" t="n">
        <v>0</v>
      </c>
      <c r="F198" s="79"/>
      <c r="G198" s="80"/>
      <c r="H198" s="80"/>
      <c r="I198" s="59" t="n">
        <f aca="false">SUM(F198:H198)</f>
        <v>0</v>
      </c>
      <c r="J198" s="60" t="n">
        <f aca="false">E198-I198</f>
        <v>0</v>
      </c>
      <c r="K198" s="80"/>
      <c r="L198" s="81"/>
      <c r="M198" s="82"/>
      <c r="N198" s="82"/>
      <c r="O198" s="82"/>
      <c r="P198" s="82"/>
      <c r="Q198" s="82"/>
      <c r="R198" s="59" t="n">
        <f aca="false">SUM(K198:Q198)</f>
        <v>0</v>
      </c>
      <c r="S198" s="60" t="n">
        <f aca="false">J198-R198</f>
        <v>0</v>
      </c>
      <c r="T198" s="82"/>
      <c r="U198" s="82"/>
      <c r="V198" s="83"/>
      <c r="W198" s="79"/>
      <c r="X198" s="80"/>
      <c r="Y198" s="80"/>
      <c r="Z198" s="80"/>
      <c r="AA198" s="59" t="n">
        <f aca="false">SUM(T198:Z198)</f>
        <v>0</v>
      </c>
      <c r="AB198" s="60" t="n">
        <f aca="false">S198-AA198</f>
        <v>0</v>
      </c>
      <c r="AC198" s="80"/>
      <c r="AD198" s="80"/>
      <c r="AE198" s="80"/>
      <c r="AF198" s="80"/>
      <c r="AG198" s="80"/>
      <c r="AH198" s="80"/>
      <c r="AI198" s="83"/>
      <c r="AJ198" s="65" t="n">
        <f aca="false">SUM(AC198:AI198)</f>
        <v>0</v>
      </c>
      <c r="AK198" s="60" t="n">
        <f aca="false">AB198-AJ198</f>
        <v>0</v>
      </c>
      <c r="AL198" s="80"/>
      <c r="AM198" s="80"/>
      <c r="AN198" s="80"/>
      <c r="AO198" s="80"/>
      <c r="AP198" s="75"/>
      <c r="AQ198" s="75"/>
      <c r="AR198" s="75"/>
      <c r="AS198" s="60" t="n">
        <f aca="false">SUM(AL198:AR198)</f>
        <v>0</v>
      </c>
      <c r="AT198" s="60" t="n">
        <f aca="false">AK198-AS198</f>
        <v>0</v>
      </c>
    </row>
    <row r="199" customFormat="false" ht="13.5" hidden="false" customHeight="true" outlineLevel="0" collapsed="false">
      <c r="A199" s="76"/>
      <c r="B199" s="77"/>
      <c r="C199" s="77"/>
      <c r="D199" s="78"/>
      <c r="E199" s="56" t="n">
        <v>0</v>
      </c>
      <c r="F199" s="79"/>
      <c r="G199" s="80"/>
      <c r="H199" s="80"/>
      <c r="I199" s="59" t="n">
        <f aca="false">SUM(F199:H199)</f>
        <v>0</v>
      </c>
      <c r="J199" s="60" t="n">
        <f aca="false">E199-I199</f>
        <v>0</v>
      </c>
      <c r="K199" s="80"/>
      <c r="L199" s="81"/>
      <c r="M199" s="82"/>
      <c r="N199" s="82"/>
      <c r="O199" s="82"/>
      <c r="P199" s="82"/>
      <c r="Q199" s="82"/>
      <c r="R199" s="59" t="n">
        <f aca="false">SUM(K199:Q199)</f>
        <v>0</v>
      </c>
      <c r="S199" s="60" t="n">
        <f aca="false">J199-R199</f>
        <v>0</v>
      </c>
      <c r="T199" s="82"/>
      <c r="U199" s="82"/>
      <c r="V199" s="83"/>
      <c r="W199" s="79"/>
      <c r="X199" s="80"/>
      <c r="Y199" s="80"/>
      <c r="Z199" s="80"/>
      <c r="AA199" s="59" t="n">
        <f aca="false">SUM(T199:Z199)</f>
        <v>0</v>
      </c>
      <c r="AB199" s="60" t="n">
        <f aca="false">S199-AA199</f>
        <v>0</v>
      </c>
      <c r="AC199" s="80"/>
      <c r="AD199" s="80"/>
      <c r="AE199" s="80"/>
      <c r="AF199" s="80"/>
      <c r="AG199" s="80"/>
      <c r="AH199" s="80"/>
      <c r="AI199" s="83"/>
      <c r="AJ199" s="65" t="n">
        <f aca="false">SUM(AC199:AI199)</f>
        <v>0</v>
      </c>
      <c r="AK199" s="60" t="n">
        <f aca="false">AB199-AJ199</f>
        <v>0</v>
      </c>
      <c r="AL199" s="80"/>
      <c r="AM199" s="80"/>
      <c r="AN199" s="80"/>
      <c r="AO199" s="80"/>
      <c r="AP199" s="75"/>
      <c r="AQ199" s="75"/>
      <c r="AR199" s="75"/>
      <c r="AS199" s="60" t="n">
        <f aca="false">SUM(AL199:AR199)</f>
        <v>0</v>
      </c>
      <c r="AT199" s="60" t="n">
        <f aca="false">AK199-AS199</f>
        <v>0</v>
      </c>
    </row>
    <row r="200" customFormat="false" ht="13.5" hidden="false" customHeight="true" outlineLevel="0" collapsed="false">
      <c r="A200" s="76"/>
      <c r="B200" s="77"/>
      <c r="C200" s="77"/>
      <c r="D200" s="78"/>
      <c r="E200" s="56" t="n">
        <v>0</v>
      </c>
      <c r="F200" s="79"/>
      <c r="G200" s="80"/>
      <c r="H200" s="80"/>
      <c r="I200" s="59" t="n">
        <f aca="false">SUM(F200:H200)</f>
        <v>0</v>
      </c>
      <c r="J200" s="60" t="n">
        <f aca="false">E200-I200</f>
        <v>0</v>
      </c>
      <c r="K200" s="80"/>
      <c r="L200" s="81"/>
      <c r="M200" s="82"/>
      <c r="N200" s="82"/>
      <c r="O200" s="82"/>
      <c r="P200" s="82"/>
      <c r="Q200" s="82"/>
      <c r="R200" s="59" t="n">
        <f aca="false">SUM(K200:Q200)</f>
        <v>0</v>
      </c>
      <c r="S200" s="60" t="n">
        <f aca="false">J200-R200</f>
        <v>0</v>
      </c>
      <c r="T200" s="82"/>
      <c r="U200" s="82"/>
      <c r="V200" s="83"/>
      <c r="W200" s="79"/>
      <c r="X200" s="80"/>
      <c r="Y200" s="80"/>
      <c r="Z200" s="80"/>
      <c r="AA200" s="59" t="n">
        <f aca="false">SUM(T200:Z200)</f>
        <v>0</v>
      </c>
      <c r="AB200" s="60" t="n">
        <f aca="false">S200-AA200</f>
        <v>0</v>
      </c>
      <c r="AC200" s="80"/>
      <c r="AD200" s="80"/>
      <c r="AE200" s="80"/>
      <c r="AF200" s="80"/>
      <c r="AG200" s="80"/>
      <c r="AH200" s="80"/>
      <c r="AI200" s="83"/>
      <c r="AJ200" s="65" t="n">
        <f aca="false">SUM(AC200:AI200)</f>
        <v>0</v>
      </c>
      <c r="AK200" s="60" t="n">
        <f aca="false">AB200-AJ200</f>
        <v>0</v>
      </c>
      <c r="AL200" s="80"/>
      <c r="AM200" s="80"/>
      <c r="AN200" s="80"/>
      <c r="AO200" s="80"/>
      <c r="AP200" s="75"/>
      <c r="AQ200" s="75"/>
      <c r="AR200" s="75"/>
      <c r="AS200" s="60" t="n">
        <f aca="false">SUM(AL200:AR200)</f>
        <v>0</v>
      </c>
      <c r="AT200" s="60" t="n">
        <f aca="false">AK200-AS200</f>
        <v>0</v>
      </c>
    </row>
    <row r="201" customFormat="false" ht="13.5" hidden="false" customHeight="true" outlineLevel="0" collapsed="false">
      <c r="A201" s="76"/>
      <c r="B201" s="77"/>
      <c r="C201" s="77"/>
      <c r="D201" s="78"/>
      <c r="E201" s="56" t="n">
        <v>0</v>
      </c>
      <c r="F201" s="79"/>
      <c r="G201" s="80"/>
      <c r="H201" s="80"/>
      <c r="I201" s="59" t="n">
        <f aca="false">SUM(F201:H201)</f>
        <v>0</v>
      </c>
      <c r="J201" s="60" t="n">
        <f aca="false">E201-I201</f>
        <v>0</v>
      </c>
      <c r="K201" s="80"/>
      <c r="L201" s="81"/>
      <c r="M201" s="82"/>
      <c r="N201" s="82"/>
      <c r="O201" s="82"/>
      <c r="P201" s="82"/>
      <c r="Q201" s="82"/>
      <c r="R201" s="59" t="n">
        <f aca="false">SUM(K201:Q201)</f>
        <v>0</v>
      </c>
      <c r="S201" s="60" t="n">
        <f aca="false">J201-R201</f>
        <v>0</v>
      </c>
      <c r="T201" s="82"/>
      <c r="U201" s="82"/>
      <c r="V201" s="83"/>
      <c r="W201" s="79"/>
      <c r="X201" s="80"/>
      <c r="Y201" s="80"/>
      <c r="Z201" s="80"/>
      <c r="AA201" s="59" t="n">
        <f aca="false">SUM(T201:Z201)</f>
        <v>0</v>
      </c>
      <c r="AB201" s="60" t="n">
        <f aca="false">S201-AA201</f>
        <v>0</v>
      </c>
      <c r="AC201" s="80"/>
      <c r="AD201" s="80"/>
      <c r="AE201" s="80"/>
      <c r="AF201" s="80"/>
      <c r="AG201" s="80"/>
      <c r="AH201" s="80"/>
      <c r="AI201" s="83"/>
      <c r="AJ201" s="65" t="n">
        <f aca="false">SUM(AC201:AI201)</f>
        <v>0</v>
      </c>
      <c r="AK201" s="60" t="n">
        <f aca="false">AB201-AJ201</f>
        <v>0</v>
      </c>
      <c r="AL201" s="80"/>
      <c r="AM201" s="80"/>
      <c r="AN201" s="80"/>
      <c r="AO201" s="80"/>
      <c r="AP201" s="75"/>
      <c r="AQ201" s="75"/>
      <c r="AR201" s="75"/>
      <c r="AS201" s="60" t="n">
        <f aca="false">SUM(AL201:AR201)</f>
        <v>0</v>
      </c>
      <c r="AT201" s="60" t="n">
        <f aca="false">AK201-AS201</f>
        <v>0</v>
      </c>
    </row>
    <row r="202" customFormat="false" ht="13.5" hidden="false" customHeight="true" outlineLevel="0" collapsed="false">
      <c r="A202" s="76"/>
      <c r="B202" s="77"/>
      <c r="C202" s="77"/>
      <c r="D202" s="78"/>
      <c r="E202" s="56" t="n">
        <v>0</v>
      </c>
      <c r="F202" s="79"/>
      <c r="G202" s="80"/>
      <c r="H202" s="80"/>
      <c r="I202" s="59" t="n">
        <f aca="false">SUM(F202:H202)</f>
        <v>0</v>
      </c>
      <c r="J202" s="60" t="n">
        <f aca="false">E202-I202</f>
        <v>0</v>
      </c>
      <c r="K202" s="80"/>
      <c r="L202" s="81"/>
      <c r="M202" s="82"/>
      <c r="N202" s="82"/>
      <c r="O202" s="82"/>
      <c r="P202" s="82"/>
      <c r="Q202" s="82"/>
      <c r="R202" s="59" t="n">
        <f aca="false">SUM(K202:Q202)</f>
        <v>0</v>
      </c>
      <c r="S202" s="60" t="n">
        <f aca="false">J202-R202</f>
        <v>0</v>
      </c>
      <c r="T202" s="82"/>
      <c r="U202" s="82"/>
      <c r="V202" s="83"/>
      <c r="W202" s="79"/>
      <c r="X202" s="80"/>
      <c r="Y202" s="80"/>
      <c r="Z202" s="80"/>
      <c r="AA202" s="59" t="n">
        <f aca="false">SUM(T202:Z202)</f>
        <v>0</v>
      </c>
      <c r="AB202" s="60" t="n">
        <f aca="false">S202-AA202</f>
        <v>0</v>
      </c>
      <c r="AC202" s="80"/>
      <c r="AD202" s="80"/>
      <c r="AE202" s="80"/>
      <c r="AF202" s="80"/>
      <c r="AG202" s="80"/>
      <c r="AH202" s="80"/>
      <c r="AI202" s="83"/>
      <c r="AJ202" s="65" t="n">
        <f aca="false">SUM(AC202:AI202)</f>
        <v>0</v>
      </c>
      <c r="AK202" s="60" t="n">
        <f aca="false">AB202-AJ202</f>
        <v>0</v>
      </c>
      <c r="AL202" s="80"/>
      <c r="AM202" s="80"/>
      <c r="AN202" s="80"/>
      <c r="AO202" s="80"/>
      <c r="AP202" s="75"/>
      <c r="AQ202" s="75"/>
      <c r="AR202" s="75"/>
      <c r="AS202" s="60" t="n">
        <f aca="false">SUM(AL202:AR202)</f>
        <v>0</v>
      </c>
      <c r="AT202" s="60" t="n">
        <f aca="false">AK202-AS202</f>
        <v>0</v>
      </c>
    </row>
    <row r="203" customFormat="false" ht="13.5" hidden="false" customHeight="true" outlineLevel="0" collapsed="false">
      <c r="A203" s="76"/>
      <c r="B203" s="77"/>
      <c r="C203" s="77"/>
      <c r="D203" s="78"/>
      <c r="E203" s="56" t="n">
        <v>0</v>
      </c>
      <c r="F203" s="79"/>
      <c r="G203" s="80"/>
      <c r="H203" s="80"/>
      <c r="I203" s="59" t="n">
        <f aca="false">SUM(F203:H203)</f>
        <v>0</v>
      </c>
      <c r="J203" s="60" t="n">
        <f aca="false">E203-I203</f>
        <v>0</v>
      </c>
      <c r="K203" s="80"/>
      <c r="L203" s="81"/>
      <c r="M203" s="82"/>
      <c r="N203" s="82"/>
      <c r="O203" s="82"/>
      <c r="P203" s="82"/>
      <c r="Q203" s="82"/>
      <c r="R203" s="59" t="n">
        <f aca="false">SUM(K203:Q203)</f>
        <v>0</v>
      </c>
      <c r="S203" s="60" t="n">
        <f aca="false">J203-R203</f>
        <v>0</v>
      </c>
      <c r="T203" s="82"/>
      <c r="U203" s="82"/>
      <c r="V203" s="83"/>
      <c r="W203" s="79"/>
      <c r="X203" s="80"/>
      <c r="Y203" s="80"/>
      <c r="Z203" s="80"/>
      <c r="AA203" s="59" t="n">
        <f aca="false">SUM(T203:Z203)</f>
        <v>0</v>
      </c>
      <c r="AB203" s="60" t="n">
        <f aca="false">S203-AA203</f>
        <v>0</v>
      </c>
      <c r="AC203" s="80"/>
      <c r="AD203" s="80"/>
      <c r="AE203" s="80"/>
      <c r="AF203" s="80"/>
      <c r="AG203" s="80"/>
      <c r="AH203" s="80"/>
      <c r="AI203" s="83"/>
      <c r="AJ203" s="65" t="n">
        <f aca="false">SUM(AC203:AI203)</f>
        <v>0</v>
      </c>
      <c r="AK203" s="60" t="n">
        <f aca="false">AB203-AJ203</f>
        <v>0</v>
      </c>
      <c r="AL203" s="80"/>
      <c r="AM203" s="80"/>
      <c r="AN203" s="80"/>
      <c r="AO203" s="80"/>
      <c r="AP203" s="75"/>
      <c r="AQ203" s="75"/>
      <c r="AR203" s="75"/>
      <c r="AS203" s="60" t="n">
        <f aca="false">SUM(AL203:AR203)</f>
        <v>0</v>
      </c>
      <c r="AT203" s="60" t="n">
        <f aca="false">AK203-AS203</f>
        <v>0</v>
      </c>
    </row>
    <row r="204" customFormat="false" ht="13.5" hidden="false" customHeight="true" outlineLevel="0" collapsed="false">
      <c r="A204" s="76"/>
      <c r="B204" s="77"/>
      <c r="C204" s="77"/>
      <c r="D204" s="78"/>
      <c r="E204" s="56" t="n">
        <v>0</v>
      </c>
      <c r="F204" s="79"/>
      <c r="G204" s="80"/>
      <c r="H204" s="80"/>
      <c r="I204" s="59" t="n">
        <f aca="false">SUM(F204:H204)</f>
        <v>0</v>
      </c>
      <c r="J204" s="60" t="n">
        <f aca="false">E204-I204</f>
        <v>0</v>
      </c>
      <c r="K204" s="80"/>
      <c r="L204" s="81"/>
      <c r="M204" s="82"/>
      <c r="N204" s="82"/>
      <c r="O204" s="82"/>
      <c r="P204" s="82"/>
      <c r="Q204" s="82"/>
      <c r="R204" s="59" t="n">
        <f aca="false">SUM(K204:Q204)</f>
        <v>0</v>
      </c>
      <c r="S204" s="60" t="n">
        <f aca="false">J204-R204</f>
        <v>0</v>
      </c>
      <c r="T204" s="82"/>
      <c r="U204" s="82"/>
      <c r="V204" s="83"/>
      <c r="W204" s="79"/>
      <c r="X204" s="80"/>
      <c r="Y204" s="80"/>
      <c r="Z204" s="80"/>
      <c r="AA204" s="59" t="n">
        <f aca="false">SUM(T204:Z204)</f>
        <v>0</v>
      </c>
      <c r="AB204" s="60" t="n">
        <f aca="false">S204-AA204</f>
        <v>0</v>
      </c>
      <c r="AC204" s="80"/>
      <c r="AD204" s="80"/>
      <c r="AE204" s="80"/>
      <c r="AF204" s="80"/>
      <c r="AG204" s="80"/>
      <c r="AH204" s="80"/>
      <c r="AI204" s="83"/>
      <c r="AJ204" s="65" t="n">
        <f aca="false">SUM(AC204:AI204)</f>
        <v>0</v>
      </c>
      <c r="AK204" s="60" t="n">
        <f aca="false">AB204-AJ204</f>
        <v>0</v>
      </c>
      <c r="AL204" s="80"/>
      <c r="AM204" s="80"/>
      <c r="AN204" s="80"/>
      <c r="AO204" s="80"/>
      <c r="AP204" s="75"/>
      <c r="AQ204" s="75"/>
      <c r="AR204" s="75"/>
      <c r="AS204" s="60" t="n">
        <f aca="false">SUM(AL204:AR204)</f>
        <v>0</v>
      </c>
      <c r="AT204" s="60" t="n">
        <f aca="false">AK204-AS204</f>
        <v>0</v>
      </c>
    </row>
    <row r="205" customFormat="false" ht="13.5" hidden="false" customHeight="true" outlineLevel="0" collapsed="false">
      <c r="A205" s="76"/>
      <c r="B205" s="77"/>
      <c r="C205" s="77"/>
      <c r="D205" s="78"/>
      <c r="E205" s="56" t="n">
        <v>0</v>
      </c>
      <c r="F205" s="79"/>
      <c r="G205" s="80"/>
      <c r="H205" s="80"/>
      <c r="I205" s="59" t="n">
        <f aca="false">SUM(F205:H205)</f>
        <v>0</v>
      </c>
      <c r="J205" s="60" t="n">
        <f aca="false">E205-I205</f>
        <v>0</v>
      </c>
      <c r="K205" s="80"/>
      <c r="L205" s="81"/>
      <c r="M205" s="82"/>
      <c r="N205" s="82"/>
      <c r="O205" s="82"/>
      <c r="P205" s="82"/>
      <c r="Q205" s="82"/>
      <c r="R205" s="59" t="n">
        <f aca="false">SUM(K205:Q205)</f>
        <v>0</v>
      </c>
      <c r="S205" s="60" t="n">
        <f aca="false">J205-R205</f>
        <v>0</v>
      </c>
      <c r="T205" s="82"/>
      <c r="U205" s="82"/>
      <c r="V205" s="83"/>
      <c r="W205" s="79"/>
      <c r="X205" s="80"/>
      <c r="Y205" s="80"/>
      <c r="Z205" s="80"/>
      <c r="AA205" s="59" t="n">
        <f aca="false">SUM(T205:Z205)</f>
        <v>0</v>
      </c>
      <c r="AB205" s="60" t="n">
        <f aca="false">S205-AA205</f>
        <v>0</v>
      </c>
      <c r="AC205" s="80"/>
      <c r="AD205" s="80"/>
      <c r="AE205" s="80"/>
      <c r="AF205" s="80"/>
      <c r="AG205" s="80"/>
      <c r="AH205" s="80"/>
      <c r="AI205" s="83"/>
      <c r="AJ205" s="65" t="n">
        <f aca="false">SUM(AC205:AI205)</f>
        <v>0</v>
      </c>
      <c r="AK205" s="60" t="n">
        <f aca="false">AB205-AJ205</f>
        <v>0</v>
      </c>
      <c r="AL205" s="80"/>
      <c r="AM205" s="80"/>
      <c r="AN205" s="80"/>
      <c r="AO205" s="80"/>
      <c r="AP205" s="75"/>
      <c r="AQ205" s="75"/>
      <c r="AR205" s="75"/>
      <c r="AS205" s="60" t="n">
        <f aca="false">SUM(AL205:AR205)</f>
        <v>0</v>
      </c>
      <c r="AT205" s="60" t="n">
        <f aca="false">AK205-AS205</f>
        <v>0</v>
      </c>
    </row>
    <row r="206" customFormat="false" ht="13.5" hidden="false" customHeight="true" outlineLevel="0" collapsed="false">
      <c r="A206" s="76"/>
      <c r="B206" s="77"/>
      <c r="C206" s="77"/>
      <c r="D206" s="78"/>
      <c r="E206" s="56" t="n">
        <v>0</v>
      </c>
      <c r="F206" s="79"/>
      <c r="G206" s="80"/>
      <c r="H206" s="80"/>
      <c r="I206" s="59" t="n">
        <f aca="false">SUM(F206:H206)</f>
        <v>0</v>
      </c>
      <c r="J206" s="60" t="n">
        <f aca="false">E206-I206</f>
        <v>0</v>
      </c>
      <c r="K206" s="80"/>
      <c r="L206" s="81"/>
      <c r="M206" s="82"/>
      <c r="N206" s="82"/>
      <c r="O206" s="82"/>
      <c r="P206" s="82"/>
      <c r="Q206" s="82"/>
      <c r="R206" s="59" t="n">
        <f aca="false">SUM(K206:Q206)</f>
        <v>0</v>
      </c>
      <c r="S206" s="60" t="n">
        <f aca="false">J206-R206</f>
        <v>0</v>
      </c>
      <c r="T206" s="82"/>
      <c r="U206" s="82"/>
      <c r="V206" s="83"/>
      <c r="W206" s="79"/>
      <c r="X206" s="80"/>
      <c r="Y206" s="80"/>
      <c r="Z206" s="80"/>
      <c r="AA206" s="59" t="n">
        <f aca="false">SUM(T206:Z206)</f>
        <v>0</v>
      </c>
      <c r="AB206" s="60" t="n">
        <f aca="false">S206-AA206</f>
        <v>0</v>
      </c>
      <c r="AC206" s="80"/>
      <c r="AD206" s="80"/>
      <c r="AE206" s="80"/>
      <c r="AF206" s="80"/>
      <c r="AG206" s="80"/>
      <c r="AH206" s="80"/>
      <c r="AI206" s="83"/>
      <c r="AJ206" s="65" t="n">
        <f aca="false">SUM(AC206:AI206)</f>
        <v>0</v>
      </c>
      <c r="AK206" s="60" t="n">
        <f aca="false">AB206-AJ206</f>
        <v>0</v>
      </c>
      <c r="AL206" s="80"/>
      <c r="AM206" s="80"/>
      <c r="AN206" s="80"/>
      <c r="AO206" s="80"/>
      <c r="AP206" s="75"/>
      <c r="AQ206" s="75"/>
      <c r="AR206" s="75"/>
      <c r="AS206" s="60" t="n">
        <f aca="false">SUM(AL206:AR206)</f>
        <v>0</v>
      </c>
      <c r="AT206" s="60" t="n">
        <f aca="false">AK206-AS206</f>
        <v>0</v>
      </c>
    </row>
    <row r="207" customFormat="false" ht="13.5" hidden="false" customHeight="true" outlineLevel="0" collapsed="false">
      <c r="A207" s="76"/>
      <c r="B207" s="77"/>
      <c r="C207" s="77"/>
      <c r="D207" s="78"/>
      <c r="E207" s="56" t="n">
        <v>0</v>
      </c>
      <c r="F207" s="79"/>
      <c r="G207" s="80"/>
      <c r="H207" s="80"/>
      <c r="I207" s="59" t="n">
        <f aca="false">SUM(F207:H207)</f>
        <v>0</v>
      </c>
      <c r="J207" s="60" t="n">
        <f aca="false">E207-I207</f>
        <v>0</v>
      </c>
      <c r="K207" s="80"/>
      <c r="L207" s="81"/>
      <c r="M207" s="82"/>
      <c r="N207" s="82"/>
      <c r="O207" s="82"/>
      <c r="P207" s="82"/>
      <c r="Q207" s="82"/>
      <c r="R207" s="59" t="n">
        <f aca="false">SUM(K207:Q207)</f>
        <v>0</v>
      </c>
      <c r="S207" s="60" t="n">
        <f aca="false">J207-R207</f>
        <v>0</v>
      </c>
      <c r="T207" s="82"/>
      <c r="U207" s="82"/>
      <c r="V207" s="83"/>
      <c r="W207" s="79"/>
      <c r="X207" s="80"/>
      <c r="Y207" s="80"/>
      <c r="Z207" s="80"/>
      <c r="AA207" s="59" t="n">
        <f aca="false">SUM(T207:Z207)</f>
        <v>0</v>
      </c>
      <c r="AB207" s="60" t="n">
        <f aca="false">S207-AA207</f>
        <v>0</v>
      </c>
      <c r="AC207" s="80"/>
      <c r="AD207" s="80"/>
      <c r="AE207" s="80"/>
      <c r="AF207" s="80"/>
      <c r="AG207" s="80"/>
      <c r="AH207" s="80"/>
      <c r="AI207" s="83"/>
      <c r="AJ207" s="65" t="n">
        <f aca="false">SUM(AC207:AI207)</f>
        <v>0</v>
      </c>
      <c r="AK207" s="60" t="n">
        <f aca="false">AB207-AJ207</f>
        <v>0</v>
      </c>
      <c r="AL207" s="80"/>
      <c r="AM207" s="80"/>
      <c r="AN207" s="80"/>
      <c r="AO207" s="80"/>
      <c r="AP207" s="75"/>
      <c r="AQ207" s="75"/>
      <c r="AR207" s="75"/>
      <c r="AS207" s="60" t="n">
        <f aca="false">SUM(AL207:AR207)</f>
        <v>0</v>
      </c>
      <c r="AT207" s="60" t="n">
        <f aca="false">AK207-AS207</f>
        <v>0</v>
      </c>
    </row>
    <row r="208" customFormat="false" ht="13.5" hidden="false" customHeight="true" outlineLevel="0" collapsed="false">
      <c r="A208" s="76"/>
      <c r="B208" s="77"/>
      <c r="C208" s="77"/>
      <c r="D208" s="78"/>
      <c r="E208" s="56" t="n">
        <v>0</v>
      </c>
      <c r="F208" s="79"/>
      <c r="G208" s="80"/>
      <c r="H208" s="80"/>
      <c r="I208" s="59" t="n">
        <f aca="false">SUM(F208:H208)</f>
        <v>0</v>
      </c>
      <c r="J208" s="60" t="n">
        <f aca="false">E208-I208</f>
        <v>0</v>
      </c>
      <c r="K208" s="80"/>
      <c r="L208" s="81"/>
      <c r="M208" s="82"/>
      <c r="N208" s="82"/>
      <c r="O208" s="82"/>
      <c r="P208" s="82"/>
      <c r="Q208" s="82"/>
      <c r="R208" s="59" t="n">
        <f aca="false">SUM(K208:Q208)</f>
        <v>0</v>
      </c>
      <c r="S208" s="60" t="n">
        <f aca="false">J208-R208</f>
        <v>0</v>
      </c>
      <c r="T208" s="82"/>
      <c r="U208" s="82"/>
      <c r="V208" s="83"/>
      <c r="W208" s="79"/>
      <c r="X208" s="80"/>
      <c r="Y208" s="80"/>
      <c r="Z208" s="80"/>
      <c r="AA208" s="59" t="n">
        <f aca="false">SUM(T208:Z208)</f>
        <v>0</v>
      </c>
      <c r="AB208" s="60" t="n">
        <f aca="false">S208-AA208</f>
        <v>0</v>
      </c>
      <c r="AC208" s="80"/>
      <c r="AD208" s="80"/>
      <c r="AE208" s="80"/>
      <c r="AF208" s="80"/>
      <c r="AG208" s="80"/>
      <c r="AH208" s="80"/>
      <c r="AI208" s="83"/>
      <c r="AJ208" s="65" t="n">
        <f aca="false">SUM(AC208:AI208)</f>
        <v>0</v>
      </c>
      <c r="AK208" s="60" t="n">
        <f aca="false">AB208-AJ208</f>
        <v>0</v>
      </c>
      <c r="AL208" s="80"/>
      <c r="AM208" s="80"/>
      <c r="AN208" s="80"/>
      <c r="AO208" s="80"/>
      <c r="AP208" s="75"/>
      <c r="AQ208" s="75"/>
      <c r="AR208" s="75"/>
      <c r="AS208" s="60" t="n">
        <f aca="false">SUM(AL208:AR208)</f>
        <v>0</v>
      </c>
      <c r="AT208" s="60" t="n">
        <f aca="false">AK208-AS208</f>
        <v>0</v>
      </c>
    </row>
    <row r="209" customFormat="false" ht="13.5" hidden="false" customHeight="true" outlineLevel="0" collapsed="false">
      <c r="A209" s="76"/>
      <c r="B209" s="77"/>
      <c r="C209" s="77"/>
      <c r="D209" s="78"/>
      <c r="E209" s="56" t="n">
        <v>0</v>
      </c>
      <c r="F209" s="79"/>
      <c r="G209" s="80"/>
      <c r="H209" s="80"/>
      <c r="I209" s="59" t="n">
        <f aca="false">SUM(F209:H209)</f>
        <v>0</v>
      </c>
      <c r="J209" s="60" t="n">
        <f aca="false">E209-I209</f>
        <v>0</v>
      </c>
      <c r="K209" s="80"/>
      <c r="L209" s="81"/>
      <c r="M209" s="82"/>
      <c r="N209" s="82"/>
      <c r="O209" s="82"/>
      <c r="P209" s="82"/>
      <c r="Q209" s="82"/>
      <c r="R209" s="59" t="n">
        <f aca="false">SUM(K209:Q209)</f>
        <v>0</v>
      </c>
      <c r="S209" s="60" t="n">
        <f aca="false">J209-R209</f>
        <v>0</v>
      </c>
      <c r="T209" s="82"/>
      <c r="U209" s="82"/>
      <c r="V209" s="83"/>
      <c r="W209" s="79"/>
      <c r="X209" s="80"/>
      <c r="Y209" s="80"/>
      <c r="Z209" s="80"/>
      <c r="AA209" s="59" t="n">
        <f aca="false">SUM(T209:Z209)</f>
        <v>0</v>
      </c>
      <c r="AB209" s="60" t="n">
        <f aca="false">S209-AA209</f>
        <v>0</v>
      </c>
      <c r="AC209" s="80"/>
      <c r="AD209" s="80"/>
      <c r="AE209" s="80"/>
      <c r="AF209" s="80"/>
      <c r="AG209" s="80"/>
      <c r="AH209" s="80"/>
      <c r="AI209" s="83"/>
      <c r="AJ209" s="65" t="n">
        <f aca="false">SUM(AC209:AI209)</f>
        <v>0</v>
      </c>
      <c r="AK209" s="60" t="n">
        <f aca="false">AB209-AJ209</f>
        <v>0</v>
      </c>
      <c r="AL209" s="80"/>
      <c r="AM209" s="80"/>
      <c r="AN209" s="80"/>
      <c r="AO209" s="80"/>
      <c r="AP209" s="75"/>
      <c r="AQ209" s="75"/>
      <c r="AR209" s="75"/>
      <c r="AS209" s="60" t="n">
        <f aca="false">SUM(AL209:AR209)</f>
        <v>0</v>
      </c>
      <c r="AT209" s="60" t="n">
        <f aca="false">AK209-AS209</f>
        <v>0</v>
      </c>
    </row>
    <row r="210" customFormat="false" ht="13.5" hidden="false" customHeight="true" outlineLevel="0" collapsed="false">
      <c r="A210" s="76"/>
      <c r="B210" s="77"/>
      <c r="C210" s="77"/>
      <c r="D210" s="78"/>
      <c r="E210" s="56" t="n">
        <v>0</v>
      </c>
      <c r="F210" s="79"/>
      <c r="G210" s="80"/>
      <c r="H210" s="80"/>
      <c r="I210" s="59" t="n">
        <f aca="false">SUM(F210:H210)</f>
        <v>0</v>
      </c>
      <c r="J210" s="60" t="n">
        <f aca="false">E210-I210</f>
        <v>0</v>
      </c>
      <c r="K210" s="80"/>
      <c r="L210" s="81"/>
      <c r="M210" s="82"/>
      <c r="N210" s="82"/>
      <c r="O210" s="82"/>
      <c r="P210" s="82"/>
      <c r="Q210" s="82"/>
      <c r="R210" s="59" t="n">
        <f aca="false">SUM(K210:Q210)</f>
        <v>0</v>
      </c>
      <c r="S210" s="60" t="n">
        <f aca="false">J210-R210</f>
        <v>0</v>
      </c>
      <c r="T210" s="82"/>
      <c r="U210" s="82"/>
      <c r="V210" s="83"/>
      <c r="W210" s="79"/>
      <c r="X210" s="80"/>
      <c r="Y210" s="80"/>
      <c r="Z210" s="80"/>
      <c r="AA210" s="59" t="n">
        <f aca="false">SUM(T210:Z210)</f>
        <v>0</v>
      </c>
      <c r="AB210" s="60" t="n">
        <f aca="false">S210-AA210</f>
        <v>0</v>
      </c>
      <c r="AC210" s="80"/>
      <c r="AD210" s="80"/>
      <c r="AE210" s="80"/>
      <c r="AF210" s="80"/>
      <c r="AG210" s="80"/>
      <c r="AH210" s="80"/>
      <c r="AI210" s="83"/>
      <c r="AJ210" s="65" t="n">
        <f aca="false">SUM(AC210:AI210)</f>
        <v>0</v>
      </c>
      <c r="AK210" s="60" t="n">
        <f aca="false">AB210-AJ210</f>
        <v>0</v>
      </c>
      <c r="AL210" s="80"/>
      <c r="AM210" s="80"/>
      <c r="AN210" s="80"/>
      <c r="AO210" s="80"/>
      <c r="AP210" s="75"/>
      <c r="AQ210" s="75"/>
      <c r="AR210" s="75"/>
      <c r="AS210" s="60" t="n">
        <f aca="false">SUM(AL210:AR210)</f>
        <v>0</v>
      </c>
      <c r="AT210" s="60" t="n">
        <f aca="false">AK210-AS210</f>
        <v>0</v>
      </c>
    </row>
    <row r="211" customFormat="false" ht="13.5" hidden="false" customHeight="true" outlineLevel="0" collapsed="false">
      <c r="A211" s="76"/>
      <c r="B211" s="77"/>
      <c r="C211" s="77"/>
      <c r="D211" s="78"/>
      <c r="E211" s="89" t="n">
        <v>0</v>
      </c>
      <c r="F211" s="79"/>
      <c r="G211" s="80"/>
      <c r="H211" s="80"/>
      <c r="I211" s="59" t="n">
        <f aca="false">SUM(F211:H211)</f>
        <v>0</v>
      </c>
      <c r="J211" s="60" t="n">
        <f aca="false">E211-I211</f>
        <v>0</v>
      </c>
      <c r="K211" s="80"/>
      <c r="L211" s="81"/>
      <c r="M211" s="82"/>
      <c r="N211" s="82"/>
      <c r="O211" s="82"/>
      <c r="P211" s="82"/>
      <c r="Q211" s="82"/>
      <c r="R211" s="59" t="n">
        <f aca="false">SUM(K211:Q211)</f>
        <v>0</v>
      </c>
      <c r="S211" s="60" t="n">
        <f aca="false">J211-R211</f>
        <v>0</v>
      </c>
      <c r="T211" s="82"/>
      <c r="U211" s="82"/>
      <c r="V211" s="83"/>
      <c r="W211" s="79"/>
      <c r="X211" s="80"/>
      <c r="Y211" s="80"/>
      <c r="Z211" s="80"/>
      <c r="AA211" s="59" t="n">
        <f aca="false">SUM(T211:Z211)</f>
        <v>0</v>
      </c>
      <c r="AB211" s="60" t="n">
        <f aca="false">S211-AA211</f>
        <v>0</v>
      </c>
      <c r="AC211" s="80"/>
      <c r="AD211" s="80"/>
      <c r="AE211" s="80"/>
      <c r="AF211" s="80"/>
      <c r="AG211" s="80"/>
      <c r="AH211" s="80"/>
      <c r="AI211" s="83"/>
      <c r="AJ211" s="65" t="n">
        <f aca="false">SUM(AC211:AI211)</f>
        <v>0</v>
      </c>
      <c r="AK211" s="60" t="n">
        <f aca="false">AB211-AJ211</f>
        <v>0</v>
      </c>
      <c r="AL211" s="80"/>
      <c r="AM211" s="80"/>
      <c r="AN211" s="80"/>
      <c r="AO211" s="80"/>
      <c r="AP211" s="75"/>
      <c r="AQ211" s="75"/>
      <c r="AR211" s="75"/>
      <c r="AS211" s="60" t="n">
        <f aca="false">SUM(AL211:AR211)</f>
        <v>0</v>
      </c>
      <c r="AT211" s="60" t="n">
        <f aca="false">AK211-AS211</f>
        <v>0</v>
      </c>
    </row>
    <row r="212" customFormat="false" ht="13.5" hidden="false" customHeight="true" outlineLevel="0" collapsed="false">
      <c r="A212" s="76"/>
      <c r="B212" s="77"/>
      <c r="C212" s="77"/>
      <c r="D212" s="78"/>
      <c r="E212" s="89" t="n">
        <v>0</v>
      </c>
      <c r="F212" s="79"/>
      <c r="G212" s="80"/>
      <c r="H212" s="80"/>
      <c r="I212" s="59" t="n">
        <f aca="false">SUM(F212:H212)</f>
        <v>0</v>
      </c>
      <c r="J212" s="60" t="n">
        <f aca="false">E212-I212</f>
        <v>0</v>
      </c>
      <c r="K212" s="80"/>
      <c r="L212" s="81"/>
      <c r="M212" s="82"/>
      <c r="N212" s="82"/>
      <c r="O212" s="82"/>
      <c r="P212" s="82"/>
      <c r="Q212" s="82"/>
      <c r="R212" s="59" t="n">
        <f aca="false">SUM(K212:Q212)</f>
        <v>0</v>
      </c>
      <c r="S212" s="60" t="n">
        <f aca="false">J212-R212</f>
        <v>0</v>
      </c>
      <c r="T212" s="82"/>
      <c r="U212" s="82"/>
      <c r="V212" s="83"/>
      <c r="W212" s="79"/>
      <c r="X212" s="80"/>
      <c r="Y212" s="80"/>
      <c r="Z212" s="80"/>
      <c r="AA212" s="59" t="n">
        <f aca="false">SUM(T212:Z212)</f>
        <v>0</v>
      </c>
      <c r="AB212" s="60" t="n">
        <f aca="false">S212-AA212</f>
        <v>0</v>
      </c>
      <c r="AC212" s="80"/>
      <c r="AD212" s="80"/>
      <c r="AE212" s="80"/>
      <c r="AF212" s="80"/>
      <c r="AG212" s="80"/>
      <c r="AH212" s="80"/>
      <c r="AI212" s="83"/>
      <c r="AJ212" s="65" t="n">
        <f aca="false">SUM(AC212:AI212)</f>
        <v>0</v>
      </c>
      <c r="AK212" s="60" t="n">
        <f aca="false">AB212-AJ212</f>
        <v>0</v>
      </c>
      <c r="AL212" s="80"/>
      <c r="AM212" s="80"/>
      <c r="AN212" s="80"/>
      <c r="AO212" s="80"/>
      <c r="AP212" s="75"/>
      <c r="AQ212" s="75"/>
      <c r="AR212" s="75"/>
      <c r="AS212" s="60" t="n">
        <f aca="false">SUM(AL212:AR212)</f>
        <v>0</v>
      </c>
      <c r="AT212" s="60" t="n">
        <f aca="false">AK212-AS212</f>
        <v>0</v>
      </c>
    </row>
    <row r="213" customFormat="false" ht="13.5" hidden="false" customHeight="true" outlineLevel="0" collapsed="false">
      <c r="A213" s="76"/>
      <c r="B213" s="77"/>
      <c r="C213" s="77"/>
      <c r="D213" s="78"/>
      <c r="E213" s="89" t="n">
        <v>0</v>
      </c>
      <c r="F213" s="79"/>
      <c r="G213" s="80"/>
      <c r="H213" s="80"/>
      <c r="I213" s="59" t="n">
        <f aca="false">SUM(F213:H213)</f>
        <v>0</v>
      </c>
      <c r="J213" s="60" t="n">
        <f aca="false">E213-I213</f>
        <v>0</v>
      </c>
      <c r="K213" s="80"/>
      <c r="L213" s="81"/>
      <c r="M213" s="82"/>
      <c r="N213" s="82"/>
      <c r="O213" s="82"/>
      <c r="P213" s="82"/>
      <c r="Q213" s="82"/>
      <c r="R213" s="59" t="n">
        <f aca="false">SUM(K213:Q213)</f>
        <v>0</v>
      </c>
      <c r="S213" s="60" t="n">
        <f aca="false">J213-R213</f>
        <v>0</v>
      </c>
      <c r="T213" s="82"/>
      <c r="U213" s="82"/>
      <c r="V213" s="83"/>
      <c r="W213" s="79"/>
      <c r="X213" s="80"/>
      <c r="Y213" s="80"/>
      <c r="Z213" s="80"/>
      <c r="AA213" s="59" t="n">
        <f aca="false">SUM(T213:Z213)</f>
        <v>0</v>
      </c>
      <c r="AB213" s="60" t="n">
        <f aca="false">S213-AA213</f>
        <v>0</v>
      </c>
      <c r="AC213" s="80"/>
      <c r="AD213" s="80"/>
      <c r="AE213" s="80"/>
      <c r="AF213" s="80"/>
      <c r="AG213" s="80"/>
      <c r="AH213" s="80"/>
      <c r="AI213" s="83"/>
      <c r="AJ213" s="65" t="n">
        <f aca="false">SUM(AC213:AI213)</f>
        <v>0</v>
      </c>
      <c r="AK213" s="60" t="n">
        <f aca="false">AB213-AJ213</f>
        <v>0</v>
      </c>
      <c r="AL213" s="80"/>
      <c r="AM213" s="80"/>
      <c r="AN213" s="80"/>
      <c r="AO213" s="80"/>
      <c r="AP213" s="75"/>
      <c r="AQ213" s="75"/>
      <c r="AR213" s="75"/>
      <c r="AS213" s="60" t="n">
        <f aca="false">SUM(AL213:AR213)</f>
        <v>0</v>
      </c>
      <c r="AT213" s="60" t="n">
        <f aca="false">AK213-AS213</f>
        <v>0</v>
      </c>
    </row>
    <row r="214" customFormat="false" ht="13.5" hidden="false" customHeight="true" outlineLevel="0" collapsed="false">
      <c r="A214" s="76"/>
      <c r="B214" s="77"/>
      <c r="C214" s="77"/>
      <c r="D214" s="78"/>
      <c r="E214" s="89" t="n">
        <v>0</v>
      </c>
      <c r="F214" s="79"/>
      <c r="G214" s="80"/>
      <c r="H214" s="80"/>
      <c r="I214" s="59" t="n">
        <f aca="false">SUM(F214:H214)</f>
        <v>0</v>
      </c>
      <c r="J214" s="60" t="n">
        <f aca="false">E214-I214</f>
        <v>0</v>
      </c>
      <c r="K214" s="80"/>
      <c r="L214" s="81"/>
      <c r="M214" s="82"/>
      <c r="N214" s="82"/>
      <c r="O214" s="82"/>
      <c r="P214" s="82"/>
      <c r="Q214" s="82"/>
      <c r="R214" s="59" t="n">
        <f aca="false">SUM(K214:Q214)</f>
        <v>0</v>
      </c>
      <c r="S214" s="60" t="n">
        <f aca="false">J214-R214</f>
        <v>0</v>
      </c>
      <c r="T214" s="82"/>
      <c r="U214" s="82"/>
      <c r="V214" s="83"/>
      <c r="W214" s="79"/>
      <c r="X214" s="80"/>
      <c r="Y214" s="80"/>
      <c r="Z214" s="80"/>
      <c r="AA214" s="59" t="n">
        <f aca="false">SUM(T214:Z214)</f>
        <v>0</v>
      </c>
      <c r="AB214" s="60" t="n">
        <f aca="false">S214-AA214</f>
        <v>0</v>
      </c>
      <c r="AC214" s="80"/>
      <c r="AD214" s="80"/>
      <c r="AE214" s="80"/>
      <c r="AF214" s="80"/>
      <c r="AG214" s="80"/>
      <c r="AH214" s="80"/>
      <c r="AI214" s="83"/>
      <c r="AJ214" s="65" t="n">
        <f aca="false">SUM(AC214:AI214)</f>
        <v>0</v>
      </c>
      <c r="AK214" s="60" t="n">
        <f aca="false">AB214-AJ214</f>
        <v>0</v>
      </c>
      <c r="AL214" s="80"/>
      <c r="AM214" s="80"/>
      <c r="AN214" s="80"/>
      <c r="AO214" s="80"/>
      <c r="AP214" s="75"/>
      <c r="AQ214" s="75"/>
      <c r="AR214" s="75"/>
      <c r="AS214" s="60" t="n">
        <f aca="false">SUM(AL214:AR214)</f>
        <v>0</v>
      </c>
      <c r="AT214" s="60" t="n">
        <f aca="false">AK214-AS214</f>
        <v>0</v>
      </c>
    </row>
    <row r="215" customFormat="false" ht="13.5" hidden="false" customHeight="true" outlineLevel="0" collapsed="false">
      <c r="A215" s="76"/>
      <c r="B215" s="77"/>
      <c r="C215" s="77"/>
      <c r="D215" s="78"/>
      <c r="E215" s="89" t="n">
        <v>0</v>
      </c>
      <c r="F215" s="79"/>
      <c r="G215" s="80"/>
      <c r="H215" s="80"/>
      <c r="I215" s="59" t="n">
        <f aca="false">SUM(F215:H215)</f>
        <v>0</v>
      </c>
      <c r="J215" s="60" t="n">
        <f aca="false">E215-I215</f>
        <v>0</v>
      </c>
      <c r="K215" s="80"/>
      <c r="L215" s="81"/>
      <c r="M215" s="82"/>
      <c r="N215" s="82"/>
      <c r="O215" s="82"/>
      <c r="P215" s="82"/>
      <c r="Q215" s="82"/>
      <c r="R215" s="59" t="n">
        <f aca="false">SUM(K215:Q215)</f>
        <v>0</v>
      </c>
      <c r="S215" s="60" t="n">
        <f aca="false">J215-R215</f>
        <v>0</v>
      </c>
      <c r="T215" s="82"/>
      <c r="U215" s="82"/>
      <c r="V215" s="83"/>
      <c r="W215" s="79"/>
      <c r="X215" s="80"/>
      <c r="Y215" s="80"/>
      <c r="Z215" s="80"/>
      <c r="AA215" s="59" t="n">
        <f aca="false">SUM(T215:Z215)</f>
        <v>0</v>
      </c>
      <c r="AB215" s="60" t="n">
        <f aca="false">S215-AA215</f>
        <v>0</v>
      </c>
      <c r="AC215" s="80"/>
      <c r="AD215" s="80"/>
      <c r="AE215" s="80"/>
      <c r="AF215" s="80"/>
      <c r="AG215" s="80"/>
      <c r="AH215" s="80"/>
      <c r="AI215" s="83"/>
      <c r="AJ215" s="65" t="n">
        <f aca="false">SUM(AC215:AI215)</f>
        <v>0</v>
      </c>
      <c r="AK215" s="60" t="n">
        <f aca="false">AB215-AJ215</f>
        <v>0</v>
      </c>
      <c r="AL215" s="80"/>
      <c r="AM215" s="80"/>
      <c r="AN215" s="80"/>
      <c r="AO215" s="80"/>
      <c r="AP215" s="75"/>
      <c r="AQ215" s="75"/>
      <c r="AR215" s="75"/>
      <c r="AS215" s="60" t="n">
        <f aca="false">SUM(AL215:AR215)</f>
        <v>0</v>
      </c>
      <c r="AT215" s="60" t="n">
        <f aca="false">AK215-AS215</f>
        <v>0</v>
      </c>
    </row>
    <row r="216" customFormat="false" ht="13.5" hidden="false" customHeight="true" outlineLevel="0" collapsed="false">
      <c r="A216" s="76"/>
      <c r="B216" s="77"/>
      <c r="C216" s="77"/>
      <c r="D216" s="78"/>
      <c r="E216" s="89" t="n">
        <v>0</v>
      </c>
      <c r="F216" s="79"/>
      <c r="G216" s="80"/>
      <c r="H216" s="80"/>
      <c r="I216" s="59" t="n">
        <f aca="false">SUM(F216:H216)</f>
        <v>0</v>
      </c>
      <c r="J216" s="60" t="n">
        <f aca="false">E216-I216</f>
        <v>0</v>
      </c>
      <c r="K216" s="80"/>
      <c r="L216" s="81"/>
      <c r="M216" s="82"/>
      <c r="N216" s="82"/>
      <c r="O216" s="82"/>
      <c r="P216" s="82"/>
      <c r="Q216" s="82"/>
      <c r="R216" s="59" t="n">
        <f aca="false">SUM(K216:Q216)</f>
        <v>0</v>
      </c>
      <c r="S216" s="60" t="n">
        <f aca="false">J216-R216</f>
        <v>0</v>
      </c>
      <c r="T216" s="82"/>
      <c r="U216" s="82"/>
      <c r="V216" s="83"/>
      <c r="W216" s="79"/>
      <c r="X216" s="80"/>
      <c r="Y216" s="80"/>
      <c r="Z216" s="80"/>
      <c r="AA216" s="59" t="n">
        <f aca="false">SUM(T216:Z216)</f>
        <v>0</v>
      </c>
      <c r="AB216" s="60" t="n">
        <f aca="false">S216-AA216</f>
        <v>0</v>
      </c>
      <c r="AC216" s="80"/>
      <c r="AD216" s="80"/>
      <c r="AE216" s="80"/>
      <c r="AF216" s="80"/>
      <c r="AG216" s="80"/>
      <c r="AH216" s="80"/>
      <c r="AI216" s="83"/>
      <c r="AJ216" s="65" t="n">
        <f aca="false">SUM(AC216:AI216)</f>
        <v>0</v>
      </c>
      <c r="AK216" s="60" t="n">
        <f aca="false">AB216-AJ216</f>
        <v>0</v>
      </c>
      <c r="AL216" s="80"/>
      <c r="AM216" s="80"/>
      <c r="AN216" s="80"/>
      <c r="AO216" s="80"/>
      <c r="AP216" s="75"/>
      <c r="AQ216" s="75"/>
      <c r="AR216" s="75"/>
      <c r="AS216" s="60" t="n">
        <f aca="false">SUM(AL216:AR216)</f>
        <v>0</v>
      </c>
      <c r="AT216" s="60" t="n">
        <f aca="false">AK216-AS216</f>
        <v>0</v>
      </c>
    </row>
    <row r="217" customFormat="false" ht="13.5" hidden="false" customHeight="true" outlineLevel="0" collapsed="false">
      <c r="A217" s="76"/>
      <c r="B217" s="77"/>
      <c r="C217" s="77"/>
      <c r="D217" s="78"/>
      <c r="E217" s="89" t="n">
        <v>0</v>
      </c>
      <c r="F217" s="79"/>
      <c r="G217" s="80"/>
      <c r="H217" s="80"/>
      <c r="I217" s="59" t="n">
        <f aca="false">SUM(F217:H217)</f>
        <v>0</v>
      </c>
      <c r="J217" s="60" t="n">
        <f aca="false">E217-I217</f>
        <v>0</v>
      </c>
      <c r="K217" s="80"/>
      <c r="L217" s="81"/>
      <c r="M217" s="82"/>
      <c r="N217" s="82"/>
      <c r="O217" s="82"/>
      <c r="P217" s="82"/>
      <c r="Q217" s="82"/>
      <c r="R217" s="59" t="n">
        <f aca="false">SUM(K217:Q217)</f>
        <v>0</v>
      </c>
      <c r="S217" s="60" t="n">
        <f aca="false">J217-R217</f>
        <v>0</v>
      </c>
      <c r="T217" s="82"/>
      <c r="U217" s="82"/>
      <c r="V217" s="83"/>
      <c r="W217" s="79"/>
      <c r="X217" s="80"/>
      <c r="Y217" s="80"/>
      <c r="Z217" s="80"/>
      <c r="AA217" s="59" t="n">
        <f aca="false">SUM(T217:Z217)</f>
        <v>0</v>
      </c>
      <c r="AB217" s="60" t="n">
        <f aca="false">S217-AA217</f>
        <v>0</v>
      </c>
      <c r="AC217" s="80"/>
      <c r="AD217" s="80"/>
      <c r="AE217" s="80"/>
      <c r="AF217" s="80"/>
      <c r="AG217" s="80"/>
      <c r="AH217" s="80"/>
      <c r="AI217" s="83"/>
      <c r="AJ217" s="65" t="n">
        <f aca="false">SUM(AC217:AI217)</f>
        <v>0</v>
      </c>
      <c r="AK217" s="60" t="n">
        <f aca="false">AB217-AJ217</f>
        <v>0</v>
      </c>
      <c r="AL217" s="80"/>
      <c r="AM217" s="80"/>
      <c r="AN217" s="80"/>
      <c r="AO217" s="80"/>
      <c r="AP217" s="75"/>
      <c r="AQ217" s="75"/>
      <c r="AR217" s="75"/>
      <c r="AS217" s="60" t="n">
        <f aca="false">SUM(AL217:AR217)</f>
        <v>0</v>
      </c>
      <c r="AT217" s="60" t="n">
        <f aca="false">AK217-AS217</f>
        <v>0</v>
      </c>
    </row>
    <row r="218" customFormat="false" ht="13.5" hidden="false" customHeight="true" outlineLevel="0" collapsed="false">
      <c r="A218" s="76"/>
      <c r="B218" s="77"/>
      <c r="C218" s="77"/>
      <c r="D218" s="78"/>
      <c r="E218" s="89" t="n">
        <v>0</v>
      </c>
      <c r="F218" s="79"/>
      <c r="G218" s="80"/>
      <c r="H218" s="80"/>
      <c r="I218" s="59" t="n">
        <f aca="false">SUM(F218:H218)</f>
        <v>0</v>
      </c>
      <c r="J218" s="60" t="n">
        <f aca="false">E218-I218</f>
        <v>0</v>
      </c>
      <c r="K218" s="80"/>
      <c r="L218" s="81"/>
      <c r="M218" s="82"/>
      <c r="N218" s="82"/>
      <c r="O218" s="82"/>
      <c r="P218" s="82"/>
      <c r="Q218" s="82"/>
      <c r="R218" s="59" t="n">
        <f aca="false">SUM(K218:Q218)</f>
        <v>0</v>
      </c>
      <c r="S218" s="60" t="n">
        <f aca="false">J218-R218</f>
        <v>0</v>
      </c>
      <c r="T218" s="82"/>
      <c r="U218" s="82"/>
      <c r="V218" s="83"/>
      <c r="W218" s="79"/>
      <c r="X218" s="80"/>
      <c r="Y218" s="80"/>
      <c r="Z218" s="80"/>
      <c r="AA218" s="59" t="n">
        <f aca="false">SUM(T218:Z218)</f>
        <v>0</v>
      </c>
      <c r="AB218" s="60" t="n">
        <f aca="false">S218-AA218</f>
        <v>0</v>
      </c>
      <c r="AC218" s="80"/>
      <c r="AD218" s="80"/>
      <c r="AE218" s="80"/>
      <c r="AF218" s="80"/>
      <c r="AG218" s="80"/>
      <c r="AH218" s="80"/>
      <c r="AI218" s="83"/>
      <c r="AJ218" s="65" t="n">
        <f aca="false">SUM(AC218:AI218)</f>
        <v>0</v>
      </c>
      <c r="AK218" s="60" t="n">
        <f aca="false">AB218-AJ218</f>
        <v>0</v>
      </c>
      <c r="AL218" s="80"/>
      <c r="AM218" s="80"/>
      <c r="AN218" s="80"/>
      <c r="AO218" s="80"/>
      <c r="AP218" s="75"/>
      <c r="AQ218" s="75"/>
      <c r="AR218" s="75"/>
      <c r="AS218" s="60" t="n">
        <f aca="false">SUM(AL218:AR218)</f>
        <v>0</v>
      </c>
      <c r="AT218" s="60" t="n">
        <f aca="false">AK218-AS218</f>
        <v>0</v>
      </c>
    </row>
    <row r="219" customFormat="false" ht="13.5" hidden="false" customHeight="true" outlineLevel="0" collapsed="false">
      <c r="A219" s="76"/>
      <c r="B219" s="77"/>
      <c r="C219" s="77"/>
      <c r="D219" s="78"/>
      <c r="E219" s="89" t="n">
        <v>0</v>
      </c>
      <c r="F219" s="79"/>
      <c r="G219" s="80"/>
      <c r="H219" s="80"/>
      <c r="I219" s="59" t="n">
        <f aca="false">SUM(F219:H219)</f>
        <v>0</v>
      </c>
      <c r="J219" s="60" t="n">
        <f aca="false">E219-I219</f>
        <v>0</v>
      </c>
      <c r="K219" s="80"/>
      <c r="L219" s="81"/>
      <c r="M219" s="82"/>
      <c r="N219" s="82"/>
      <c r="O219" s="82"/>
      <c r="P219" s="82"/>
      <c r="Q219" s="82"/>
      <c r="R219" s="59" t="n">
        <f aca="false">SUM(K219:Q219)</f>
        <v>0</v>
      </c>
      <c r="S219" s="60" t="n">
        <f aca="false">J219-R219</f>
        <v>0</v>
      </c>
      <c r="T219" s="82"/>
      <c r="U219" s="82"/>
      <c r="V219" s="83"/>
      <c r="W219" s="79"/>
      <c r="X219" s="80"/>
      <c r="Y219" s="80"/>
      <c r="Z219" s="80"/>
      <c r="AA219" s="59" t="n">
        <f aca="false">SUM(T219:Z219)</f>
        <v>0</v>
      </c>
      <c r="AB219" s="60" t="n">
        <f aca="false">S219-AA219</f>
        <v>0</v>
      </c>
      <c r="AC219" s="80"/>
      <c r="AD219" s="80"/>
      <c r="AE219" s="80"/>
      <c r="AF219" s="80"/>
      <c r="AG219" s="80"/>
      <c r="AH219" s="80"/>
      <c r="AI219" s="83"/>
      <c r="AJ219" s="65" t="n">
        <f aca="false">SUM(AC219:AI219)</f>
        <v>0</v>
      </c>
      <c r="AK219" s="60" t="n">
        <f aca="false">AB219-AJ219</f>
        <v>0</v>
      </c>
      <c r="AL219" s="80"/>
      <c r="AM219" s="80"/>
      <c r="AN219" s="80"/>
      <c r="AO219" s="80"/>
      <c r="AP219" s="75"/>
      <c r="AQ219" s="75"/>
      <c r="AR219" s="75"/>
      <c r="AS219" s="60" t="n">
        <f aca="false">SUM(AL219:AR219)</f>
        <v>0</v>
      </c>
      <c r="AT219" s="60" t="n">
        <f aca="false">AK219-AS219</f>
        <v>0</v>
      </c>
    </row>
    <row r="220" customFormat="false" ht="13.5" hidden="false" customHeight="true" outlineLevel="0" collapsed="false">
      <c r="A220" s="76"/>
      <c r="B220" s="77"/>
      <c r="C220" s="77"/>
      <c r="D220" s="78"/>
      <c r="E220" s="89" t="n">
        <v>0</v>
      </c>
      <c r="F220" s="79"/>
      <c r="G220" s="80"/>
      <c r="H220" s="80"/>
      <c r="I220" s="59" t="n">
        <f aca="false">SUM(F220:H220)</f>
        <v>0</v>
      </c>
      <c r="J220" s="60" t="n">
        <f aca="false">E220-I220</f>
        <v>0</v>
      </c>
      <c r="K220" s="80"/>
      <c r="L220" s="81"/>
      <c r="M220" s="82"/>
      <c r="N220" s="82"/>
      <c r="O220" s="82"/>
      <c r="P220" s="82"/>
      <c r="Q220" s="82"/>
      <c r="R220" s="59" t="n">
        <f aca="false">SUM(K220:Q220)</f>
        <v>0</v>
      </c>
      <c r="S220" s="60" t="n">
        <f aca="false">J220-R220</f>
        <v>0</v>
      </c>
      <c r="T220" s="82"/>
      <c r="U220" s="82"/>
      <c r="V220" s="83"/>
      <c r="W220" s="79"/>
      <c r="X220" s="80"/>
      <c r="Y220" s="80"/>
      <c r="Z220" s="80"/>
      <c r="AA220" s="59" t="n">
        <f aca="false">SUM(T220:Z220)</f>
        <v>0</v>
      </c>
      <c r="AB220" s="60" t="n">
        <f aca="false">S220-AA220</f>
        <v>0</v>
      </c>
      <c r="AC220" s="80"/>
      <c r="AD220" s="80"/>
      <c r="AE220" s="80"/>
      <c r="AF220" s="80"/>
      <c r="AG220" s="80"/>
      <c r="AH220" s="80"/>
      <c r="AI220" s="83"/>
      <c r="AJ220" s="65" t="n">
        <f aca="false">SUM(AC220:AI220)</f>
        <v>0</v>
      </c>
      <c r="AK220" s="60" t="n">
        <f aca="false">AB220-AJ220</f>
        <v>0</v>
      </c>
      <c r="AL220" s="80"/>
      <c r="AM220" s="80"/>
      <c r="AN220" s="80"/>
      <c r="AO220" s="80"/>
      <c r="AP220" s="75"/>
      <c r="AQ220" s="75"/>
      <c r="AR220" s="75"/>
      <c r="AS220" s="60" t="n">
        <f aca="false">SUM(AL220:AR220)</f>
        <v>0</v>
      </c>
      <c r="AT220" s="60" t="n">
        <f aca="false">AK220-AS220</f>
        <v>0</v>
      </c>
    </row>
    <row r="221" customFormat="false" ht="13.5" hidden="false" customHeight="true" outlineLevel="0" collapsed="false">
      <c r="A221" s="76"/>
      <c r="B221" s="77"/>
      <c r="C221" s="77"/>
      <c r="D221" s="78"/>
      <c r="E221" s="89" t="n">
        <v>0</v>
      </c>
      <c r="F221" s="79"/>
      <c r="G221" s="80"/>
      <c r="H221" s="80"/>
      <c r="I221" s="59" t="n">
        <f aca="false">SUM(F221:H221)</f>
        <v>0</v>
      </c>
      <c r="J221" s="60" t="n">
        <f aca="false">E221-I221</f>
        <v>0</v>
      </c>
      <c r="K221" s="80"/>
      <c r="L221" s="81"/>
      <c r="M221" s="82"/>
      <c r="N221" s="82"/>
      <c r="O221" s="82"/>
      <c r="P221" s="82"/>
      <c r="Q221" s="82"/>
      <c r="R221" s="59" t="n">
        <f aca="false">SUM(K221:Q221)</f>
        <v>0</v>
      </c>
      <c r="S221" s="60" t="n">
        <f aca="false">J221-R221</f>
        <v>0</v>
      </c>
      <c r="T221" s="82"/>
      <c r="U221" s="82"/>
      <c r="V221" s="83"/>
      <c r="W221" s="79"/>
      <c r="X221" s="80"/>
      <c r="Y221" s="80"/>
      <c r="Z221" s="80"/>
      <c r="AA221" s="59" t="n">
        <f aca="false">SUM(T221:Z221)</f>
        <v>0</v>
      </c>
      <c r="AB221" s="60" t="n">
        <f aca="false">S221-AA221</f>
        <v>0</v>
      </c>
      <c r="AC221" s="80"/>
      <c r="AD221" s="80"/>
      <c r="AE221" s="80"/>
      <c r="AF221" s="80"/>
      <c r="AG221" s="80"/>
      <c r="AH221" s="80"/>
      <c r="AI221" s="83"/>
      <c r="AJ221" s="65" t="n">
        <f aca="false">SUM(AC221:AI221)</f>
        <v>0</v>
      </c>
      <c r="AK221" s="60" t="n">
        <f aca="false">AB221-AJ221</f>
        <v>0</v>
      </c>
      <c r="AL221" s="80"/>
      <c r="AM221" s="80"/>
      <c r="AN221" s="80"/>
      <c r="AO221" s="80"/>
      <c r="AP221" s="75"/>
      <c r="AQ221" s="75"/>
      <c r="AR221" s="75"/>
      <c r="AS221" s="60" t="n">
        <f aca="false">SUM(AL221:AR221)</f>
        <v>0</v>
      </c>
      <c r="AT221" s="60" t="n">
        <f aca="false">AK221-AS221</f>
        <v>0</v>
      </c>
    </row>
    <row r="222" customFormat="false" ht="13.5" hidden="false" customHeight="true" outlineLevel="0" collapsed="false">
      <c r="A222" s="76"/>
      <c r="B222" s="77"/>
      <c r="C222" s="77"/>
      <c r="D222" s="78"/>
      <c r="E222" s="89" t="n">
        <v>0</v>
      </c>
      <c r="F222" s="79"/>
      <c r="G222" s="80"/>
      <c r="H222" s="80"/>
      <c r="I222" s="59" t="n">
        <f aca="false">SUM(F222:H222)</f>
        <v>0</v>
      </c>
      <c r="J222" s="60" t="n">
        <f aca="false">E222-I222</f>
        <v>0</v>
      </c>
      <c r="K222" s="80"/>
      <c r="L222" s="81"/>
      <c r="M222" s="82"/>
      <c r="N222" s="82"/>
      <c r="O222" s="82"/>
      <c r="P222" s="82"/>
      <c r="Q222" s="82"/>
      <c r="R222" s="59" t="n">
        <f aca="false">SUM(K222:Q222)</f>
        <v>0</v>
      </c>
      <c r="S222" s="60" t="n">
        <f aca="false">J222-R222</f>
        <v>0</v>
      </c>
      <c r="T222" s="82"/>
      <c r="U222" s="82"/>
      <c r="V222" s="83"/>
      <c r="W222" s="79"/>
      <c r="X222" s="80"/>
      <c r="Y222" s="80"/>
      <c r="Z222" s="80"/>
      <c r="AA222" s="59" t="n">
        <f aca="false">SUM(T222:Z222)</f>
        <v>0</v>
      </c>
      <c r="AB222" s="60" t="n">
        <f aca="false">S222-AA222</f>
        <v>0</v>
      </c>
      <c r="AC222" s="80"/>
      <c r="AD222" s="80"/>
      <c r="AE222" s="80"/>
      <c r="AF222" s="80"/>
      <c r="AG222" s="80"/>
      <c r="AH222" s="80"/>
      <c r="AI222" s="83"/>
      <c r="AJ222" s="65" t="n">
        <f aca="false">SUM(AC222:AI222)</f>
        <v>0</v>
      </c>
      <c r="AK222" s="60" t="n">
        <f aca="false">AB222-AJ222</f>
        <v>0</v>
      </c>
      <c r="AL222" s="80"/>
      <c r="AM222" s="80"/>
      <c r="AN222" s="80"/>
      <c r="AO222" s="80"/>
      <c r="AP222" s="75"/>
      <c r="AQ222" s="75"/>
      <c r="AR222" s="75"/>
      <c r="AS222" s="60" t="n">
        <f aca="false">SUM(AL222:AR222)</f>
        <v>0</v>
      </c>
      <c r="AT222" s="60" t="n">
        <f aca="false">AK222-AS222</f>
        <v>0</v>
      </c>
    </row>
    <row r="223" customFormat="false" ht="13.5" hidden="false" customHeight="true" outlineLevel="0" collapsed="false">
      <c r="A223" s="76"/>
      <c r="B223" s="77"/>
      <c r="C223" s="77"/>
      <c r="D223" s="78"/>
      <c r="E223" s="89" t="n">
        <v>0</v>
      </c>
      <c r="F223" s="79"/>
      <c r="G223" s="80"/>
      <c r="H223" s="80"/>
      <c r="I223" s="59" t="n">
        <f aca="false">SUM(F223:H223)</f>
        <v>0</v>
      </c>
      <c r="J223" s="60" t="n">
        <f aca="false">E223-I223</f>
        <v>0</v>
      </c>
      <c r="K223" s="80"/>
      <c r="L223" s="81"/>
      <c r="M223" s="82"/>
      <c r="N223" s="82"/>
      <c r="O223" s="82"/>
      <c r="P223" s="82"/>
      <c r="Q223" s="82"/>
      <c r="R223" s="59" t="n">
        <f aca="false">SUM(K223:Q223)</f>
        <v>0</v>
      </c>
      <c r="S223" s="60" t="n">
        <f aca="false">J223-R223</f>
        <v>0</v>
      </c>
      <c r="T223" s="82"/>
      <c r="U223" s="82"/>
      <c r="V223" s="83"/>
      <c r="W223" s="79"/>
      <c r="X223" s="80"/>
      <c r="Y223" s="80"/>
      <c r="Z223" s="80"/>
      <c r="AA223" s="59" t="n">
        <f aca="false">SUM(T223:Z223)</f>
        <v>0</v>
      </c>
      <c r="AB223" s="60" t="n">
        <f aca="false">S223-AA223</f>
        <v>0</v>
      </c>
      <c r="AC223" s="80"/>
      <c r="AD223" s="80"/>
      <c r="AE223" s="80"/>
      <c r="AF223" s="80"/>
      <c r="AG223" s="80"/>
      <c r="AH223" s="80"/>
      <c r="AI223" s="83"/>
      <c r="AJ223" s="65" t="n">
        <f aca="false">SUM(AC223:AI223)</f>
        <v>0</v>
      </c>
      <c r="AK223" s="60" t="n">
        <f aca="false">AB223-AJ223</f>
        <v>0</v>
      </c>
      <c r="AL223" s="80"/>
      <c r="AM223" s="80"/>
      <c r="AN223" s="80"/>
      <c r="AO223" s="80"/>
      <c r="AP223" s="75"/>
      <c r="AQ223" s="75"/>
      <c r="AR223" s="75"/>
      <c r="AS223" s="60" t="n">
        <f aca="false">SUM(AL223:AR223)</f>
        <v>0</v>
      </c>
      <c r="AT223" s="60" t="n">
        <f aca="false">AK223-AS223</f>
        <v>0</v>
      </c>
    </row>
    <row r="224" customFormat="false" ht="13.5" hidden="false" customHeight="true" outlineLevel="0" collapsed="false">
      <c r="A224" s="76"/>
      <c r="B224" s="77"/>
      <c r="C224" s="77"/>
      <c r="D224" s="78"/>
      <c r="E224" s="89" t="n">
        <v>0</v>
      </c>
      <c r="F224" s="79"/>
      <c r="G224" s="80"/>
      <c r="H224" s="80"/>
      <c r="I224" s="59" t="n">
        <f aca="false">SUM(F224:H224)</f>
        <v>0</v>
      </c>
      <c r="J224" s="60" t="n">
        <f aca="false">E224-I224</f>
        <v>0</v>
      </c>
      <c r="K224" s="80"/>
      <c r="L224" s="81"/>
      <c r="M224" s="82"/>
      <c r="N224" s="82"/>
      <c r="O224" s="82"/>
      <c r="P224" s="82"/>
      <c r="Q224" s="82"/>
      <c r="R224" s="59" t="n">
        <f aca="false">SUM(K224:Q224)</f>
        <v>0</v>
      </c>
      <c r="S224" s="60" t="n">
        <f aca="false">J224-R224</f>
        <v>0</v>
      </c>
      <c r="T224" s="82"/>
      <c r="U224" s="82"/>
      <c r="V224" s="83"/>
      <c r="W224" s="79"/>
      <c r="X224" s="80"/>
      <c r="Y224" s="80"/>
      <c r="Z224" s="80"/>
      <c r="AA224" s="59" t="n">
        <f aca="false">SUM(T224:Z224)</f>
        <v>0</v>
      </c>
      <c r="AB224" s="60" t="n">
        <f aca="false">S224-AA224</f>
        <v>0</v>
      </c>
      <c r="AC224" s="80"/>
      <c r="AD224" s="80"/>
      <c r="AE224" s="80"/>
      <c r="AF224" s="80"/>
      <c r="AG224" s="80"/>
      <c r="AH224" s="80"/>
      <c r="AI224" s="83"/>
      <c r="AJ224" s="65" t="n">
        <f aca="false">SUM(AC224:AI224)</f>
        <v>0</v>
      </c>
      <c r="AK224" s="60" t="n">
        <f aca="false">AB224-AJ224</f>
        <v>0</v>
      </c>
      <c r="AL224" s="80"/>
      <c r="AM224" s="80"/>
      <c r="AN224" s="80"/>
      <c r="AO224" s="80"/>
      <c r="AP224" s="75"/>
      <c r="AQ224" s="75"/>
      <c r="AR224" s="75"/>
      <c r="AS224" s="60" t="n">
        <f aca="false">SUM(AL224:AR224)</f>
        <v>0</v>
      </c>
      <c r="AT224" s="60" t="n">
        <f aca="false">AK224-AS224</f>
        <v>0</v>
      </c>
    </row>
    <row r="225" customFormat="false" ht="13.5" hidden="false" customHeight="true" outlineLevel="0" collapsed="false">
      <c r="A225" s="76"/>
      <c r="B225" s="77"/>
      <c r="C225" s="77"/>
      <c r="D225" s="78"/>
      <c r="E225" s="89" t="n">
        <v>0</v>
      </c>
      <c r="F225" s="79"/>
      <c r="G225" s="80"/>
      <c r="H225" s="80"/>
      <c r="I225" s="59" t="n">
        <f aca="false">SUM(F225:H225)</f>
        <v>0</v>
      </c>
      <c r="J225" s="60" t="n">
        <f aca="false">E225-I225</f>
        <v>0</v>
      </c>
      <c r="K225" s="80"/>
      <c r="L225" s="81"/>
      <c r="M225" s="82"/>
      <c r="N225" s="82"/>
      <c r="O225" s="82"/>
      <c r="P225" s="82"/>
      <c r="Q225" s="82"/>
      <c r="R225" s="59" t="n">
        <f aca="false">SUM(K225:Q225)</f>
        <v>0</v>
      </c>
      <c r="S225" s="60" t="n">
        <f aca="false">J225-R225</f>
        <v>0</v>
      </c>
      <c r="T225" s="82"/>
      <c r="U225" s="82"/>
      <c r="V225" s="83"/>
      <c r="W225" s="79"/>
      <c r="X225" s="80"/>
      <c r="Y225" s="80"/>
      <c r="Z225" s="80"/>
      <c r="AA225" s="59" t="n">
        <f aca="false">SUM(T225:Z225)</f>
        <v>0</v>
      </c>
      <c r="AB225" s="60" t="n">
        <f aca="false">S225-AA225</f>
        <v>0</v>
      </c>
      <c r="AC225" s="80"/>
      <c r="AD225" s="80"/>
      <c r="AE225" s="80"/>
      <c r="AF225" s="80"/>
      <c r="AG225" s="80"/>
      <c r="AH225" s="80"/>
      <c r="AI225" s="83"/>
      <c r="AJ225" s="65" t="n">
        <f aca="false">SUM(AC225:AI225)</f>
        <v>0</v>
      </c>
      <c r="AK225" s="60" t="n">
        <f aca="false">AB225-AJ225</f>
        <v>0</v>
      </c>
      <c r="AL225" s="80"/>
      <c r="AM225" s="80"/>
      <c r="AN225" s="80"/>
      <c r="AO225" s="80"/>
      <c r="AP225" s="75"/>
      <c r="AQ225" s="75"/>
      <c r="AR225" s="75"/>
      <c r="AS225" s="60" t="n">
        <f aca="false">SUM(AL225:AR225)</f>
        <v>0</v>
      </c>
      <c r="AT225" s="60" t="n">
        <f aca="false">AK225-AS225</f>
        <v>0</v>
      </c>
    </row>
    <row r="226" customFormat="false" ht="13.5" hidden="false" customHeight="true" outlineLevel="0" collapsed="false">
      <c r="A226" s="76"/>
      <c r="B226" s="77"/>
      <c r="C226" s="77"/>
      <c r="D226" s="78"/>
      <c r="E226" s="89" t="n">
        <v>0</v>
      </c>
      <c r="F226" s="79"/>
      <c r="G226" s="80"/>
      <c r="H226" s="80"/>
      <c r="I226" s="59" t="n">
        <f aca="false">SUM(F226:H226)</f>
        <v>0</v>
      </c>
      <c r="J226" s="60" t="n">
        <f aca="false">E226-I226</f>
        <v>0</v>
      </c>
      <c r="K226" s="80"/>
      <c r="L226" s="81"/>
      <c r="M226" s="82"/>
      <c r="N226" s="82"/>
      <c r="O226" s="82"/>
      <c r="P226" s="82"/>
      <c r="Q226" s="82"/>
      <c r="R226" s="59" t="n">
        <f aca="false">SUM(K226:Q226)</f>
        <v>0</v>
      </c>
      <c r="S226" s="60" t="n">
        <f aca="false">J226-R226</f>
        <v>0</v>
      </c>
      <c r="T226" s="82"/>
      <c r="U226" s="82"/>
      <c r="V226" s="83"/>
      <c r="W226" s="79"/>
      <c r="X226" s="80"/>
      <c r="Y226" s="80"/>
      <c r="Z226" s="80"/>
      <c r="AA226" s="59" t="n">
        <f aca="false">SUM(T226:Z226)</f>
        <v>0</v>
      </c>
      <c r="AB226" s="60" t="n">
        <f aca="false">S226-AA226</f>
        <v>0</v>
      </c>
      <c r="AC226" s="80"/>
      <c r="AD226" s="80"/>
      <c r="AE226" s="80"/>
      <c r="AF226" s="80"/>
      <c r="AG226" s="80"/>
      <c r="AH226" s="80"/>
      <c r="AI226" s="83"/>
      <c r="AJ226" s="65" t="n">
        <f aca="false">SUM(AC226:AI226)</f>
        <v>0</v>
      </c>
      <c r="AK226" s="60" t="n">
        <f aca="false">AB226-AJ226</f>
        <v>0</v>
      </c>
      <c r="AL226" s="80"/>
      <c r="AM226" s="80"/>
      <c r="AN226" s="80"/>
      <c r="AO226" s="80"/>
      <c r="AP226" s="75"/>
      <c r="AQ226" s="75"/>
      <c r="AR226" s="75"/>
      <c r="AS226" s="60" t="n">
        <f aca="false">SUM(AL226:AR226)</f>
        <v>0</v>
      </c>
      <c r="AT226" s="60" t="n">
        <f aca="false">AK226-AS226</f>
        <v>0</v>
      </c>
    </row>
    <row r="227" customFormat="false" ht="13.5" hidden="false" customHeight="true" outlineLevel="0" collapsed="false">
      <c r="A227" s="76"/>
      <c r="B227" s="77"/>
      <c r="C227" s="77"/>
      <c r="D227" s="78"/>
      <c r="E227" s="89" t="n">
        <v>0</v>
      </c>
      <c r="F227" s="79"/>
      <c r="G227" s="80"/>
      <c r="H227" s="80"/>
      <c r="I227" s="59" t="n">
        <f aca="false">SUM(F227:H227)</f>
        <v>0</v>
      </c>
      <c r="J227" s="60" t="n">
        <f aca="false">E227-I227</f>
        <v>0</v>
      </c>
      <c r="K227" s="80"/>
      <c r="L227" s="81"/>
      <c r="M227" s="82"/>
      <c r="N227" s="82"/>
      <c r="O227" s="82"/>
      <c r="P227" s="82"/>
      <c r="Q227" s="82"/>
      <c r="R227" s="59" t="n">
        <f aca="false">SUM(K227:Q227)</f>
        <v>0</v>
      </c>
      <c r="S227" s="60" t="n">
        <f aca="false">J227-R227</f>
        <v>0</v>
      </c>
      <c r="T227" s="82"/>
      <c r="U227" s="82"/>
      <c r="V227" s="83"/>
      <c r="W227" s="79"/>
      <c r="X227" s="80"/>
      <c r="Y227" s="80"/>
      <c r="Z227" s="80"/>
      <c r="AA227" s="59" t="n">
        <f aca="false">SUM(T227:Z227)</f>
        <v>0</v>
      </c>
      <c r="AB227" s="60" t="n">
        <f aca="false">S227-AA227</f>
        <v>0</v>
      </c>
      <c r="AC227" s="80"/>
      <c r="AD227" s="80"/>
      <c r="AE227" s="80"/>
      <c r="AF227" s="80"/>
      <c r="AG227" s="80"/>
      <c r="AH227" s="80"/>
      <c r="AI227" s="83"/>
      <c r="AJ227" s="65" t="n">
        <f aca="false">SUM(AC227:AI227)</f>
        <v>0</v>
      </c>
      <c r="AK227" s="60" t="n">
        <f aca="false">AB227-AJ227</f>
        <v>0</v>
      </c>
      <c r="AL227" s="80"/>
      <c r="AM227" s="80"/>
      <c r="AN227" s="80"/>
      <c r="AO227" s="80"/>
      <c r="AP227" s="75"/>
      <c r="AQ227" s="75"/>
      <c r="AR227" s="75"/>
      <c r="AS227" s="60" t="n">
        <f aca="false">SUM(AL227:AR227)</f>
        <v>0</v>
      </c>
      <c r="AT227" s="60" t="n">
        <f aca="false">AK227-AS227</f>
        <v>0</v>
      </c>
    </row>
    <row r="228" customFormat="false" ht="13.5" hidden="false" customHeight="true" outlineLevel="0" collapsed="false">
      <c r="A228" s="76"/>
      <c r="B228" s="77"/>
      <c r="C228" s="77"/>
      <c r="D228" s="78"/>
      <c r="E228" s="89" t="n">
        <v>0</v>
      </c>
      <c r="F228" s="79"/>
      <c r="G228" s="80"/>
      <c r="H228" s="80"/>
      <c r="I228" s="59" t="n">
        <f aca="false">SUM(F228:H228)</f>
        <v>0</v>
      </c>
      <c r="J228" s="60" t="n">
        <f aca="false">E228-I228</f>
        <v>0</v>
      </c>
      <c r="K228" s="80"/>
      <c r="L228" s="81"/>
      <c r="M228" s="82"/>
      <c r="N228" s="82"/>
      <c r="O228" s="82"/>
      <c r="P228" s="82"/>
      <c r="Q228" s="82"/>
      <c r="R228" s="59" t="n">
        <f aca="false">SUM(K228:Q228)</f>
        <v>0</v>
      </c>
      <c r="S228" s="60" t="n">
        <f aca="false">J228-R228</f>
        <v>0</v>
      </c>
      <c r="T228" s="82"/>
      <c r="U228" s="82"/>
      <c r="V228" s="83"/>
      <c r="W228" s="79"/>
      <c r="X228" s="80"/>
      <c r="Y228" s="80"/>
      <c r="Z228" s="80"/>
      <c r="AA228" s="59" t="n">
        <f aca="false">SUM(T228:Z228)</f>
        <v>0</v>
      </c>
      <c r="AB228" s="60" t="n">
        <f aca="false">S228-AA228</f>
        <v>0</v>
      </c>
      <c r="AC228" s="80"/>
      <c r="AD228" s="80"/>
      <c r="AE228" s="80"/>
      <c r="AF228" s="80"/>
      <c r="AG228" s="80"/>
      <c r="AH228" s="80"/>
      <c r="AI228" s="83"/>
      <c r="AJ228" s="65" t="n">
        <f aca="false">SUM(AC228:AI228)</f>
        <v>0</v>
      </c>
      <c r="AK228" s="60" t="n">
        <f aca="false">AB228-AJ228</f>
        <v>0</v>
      </c>
      <c r="AL228" s="80"/>
      <c r="AM228" s="80"/>
      <c r="AN228" s="80"/>
      <c r="AO228" s="80"/>
      <c r="AP228" s="75"/>
      <c r="AQ228" s="75"/>
      <c r="AR228" s="75"/>
      <c r="AS228" s="60" t="n">
        <f aca="false">SUM(AL228:AR228)</f>
        <v>0</v>
      </c>
      <c r="AT228" s="60" t="n">
        <f aca="false">AK228-AS228</f>
        <v>0</v>
      </c>
    </row>
    <row r="229" customFormat="false" ht="13.5" hidden="false" customHeight="true" outlineLevel="0" collapsed="false">
      <c r="A229" s="76"/>
      <c r="B229" s="77"/>
      <c r="C229" s="77"/>
      <c r="D229" s="78"/>
      <c r="E229" s="89" t="n">
        <v>0</v>
      </c>
      <c r="F229" s="79"/>
      <c r="G229" s="80"/>
      <c r="H229" s="80"/>
      <c r="I229" s="59" t="n">
        <f aca="false">SUM(F229:H229)</f>
        <v>0</v>
      </c>
      <c r="J229" s="60" t="n">
        <f aca="false">E229-I229</f>
        <v>0</v>
      </c>
      <c r="K229" s="80"/>
      <c r="L229" s="81"/>
      <c r="M229" s="82"/>
      <c r="N229" s="82"/>
      <c r="O229" s="82"/>
      <c r="P229" s="82"/>
      <c r="Q229" s="82"/>
      <c r="R229" s="59" t="n">
        <f aca="false">SUM(K229:Q229)</f>
        <v>0</v>
      </c>
      <c r="S229" s="60" t="n">
        <f aca="false">J229-R229</f>
        <v>0</v>
      </c>
      <c r="T229" s="82"/>
      <c r="U229" s="82"/>
      <c r="V229" s="83"/>
      <c r="W229" s="79"/>
      <c r="X229" s="80"/>
      <c r="Y229" s="80"/>
      <c r="Z229" s="80"/>
      <c r="AA229" s="59" t="n">
        <f aca="false">SUM(T229:Z229)</f>
        <v>0</v>
      </c>
      <c r="AB229" s="60" t="n">
        <f aca="false">S229-AA229</f>
        <v>0</v>
      </c>
      <c r="AC229" s="80"/>
      <c r="AD229" s="80"/>
      <c r="AE229" s="80"/>
      <c r="AF229" s="80"/>
      <c r="AG229" s="80"/>
      <c r="AH229" s="80"/>
      <c r="AI229" s="83"/>
      <c r="AJ229" s="65" t="n">
        <f aca="false">SUM(AC229:AI229)</f>
        <v>0</v>
      </c>
      <c r="AK229" s="60" t="n">
        <f aca="false">AB229-AJ229</f>
        <v>0</v>
      </c>
      <c r="AL229" s="80"/>
      <c r="AM229" s="80"/>
      <c r="AN229" s="80"/>
      <c r="AO229" s="80"/>
      <c r="AP229" s="75"/>
      <c r="AQ229" s="75"/>
      <c r="AR229" s="75"/>
      <c r="AS229" s="60" t="n">
        <f aca="false">SUM(AL229:AR229)</f>
        <v>0</v>
      </c>
      <c r="AT229" s="60" t="n">
        <f aca="false">AK229-AS229</f>
        <v>0</v>
      </c>
    </row>
    <row r="230" customFormat="false" ht="13.5" hidden="false" customHeight="true" outlineLevel="0" collapsed="false">
      <c r="A230" s="76"/>
      <c r="B230" s="77"/>
      <c r="C230" s="77"/>
      <c r="D230" s="78"/>
      <c r="E230" s="89" t="n">
        <v>0</v>
      </c>
      <c r="F230" s="79"/>
      <c r="G230" s="80"/>
      <c r="H230" s="80"/>
      <c r="I230" s="59" t="n">
        <f aca="false">SUM(F230:H230)</f>
        <v>0</v>
      </c>
      <c r="J230" s="60" t="n">
        <f aca="false">E230-I230</f>
        <v>0</v>
      </c>
      <c r="K230" s="80"/>
      <c r="L230" s="81"/>
      <c r="M230" s="82"/>
      <c r="N230" s="82"/>
      <c r="O230" s="82"/>
      <c r="P230" s="82"/>
      <c r="Q230" s="82"/>
      <c r="R230" s="59" t="n">
        <f aca="false">SUM(K230:Q230)</f>
        <v>0</v>
      </c>
      <c r="S230" s="60" t="n">
        <f aca="false">J230-R230</f>
        <v>0</v>
      </c>
      <c r="T230" s="82"/>
      <c r="U230" s="82"/>
      <c r="V230" s="83"/>
      <c r="W230" s="79"/>
      <c r="X230" s="80"/>
      <c r="Y230" s="80"/>
      <c r="Z230" s="80"/>
      <c r="AA230" s="59" t="n">
        <f aca="false">SUM(T230:Z230)</f>
        <v>0</v>
      </c>
      <c r="AB230" s="60" t="n">
        <f aca="false">S230-AA230</f>
        <v>0</v>
      </c>
      <c r="AC230" s="80"/>
      <c r="AD230" s="80"/>
      <c r="AE230" s="80"/>
      <c r="AF230" s="80"/>
      <c r="AG230" s="80"/>
      <c r="AH230" s="80"/>
      <c r="AI230" s="83"/>
      <c r="AJ230" s="65" t="n">
        <f aca="false">SUM(AC230:AI230)</f>
        <v>0</v>
      </c>
      <c r="AK230" s="60" t="n">
        <f aca="false">AB230-AJ230</f>
        <v>0</v>
      </c>
      <c r="AL230" s="80"/>
      <c r="AM230" s="80"/>
      <c r="AN230" s="80"/>
      <c r="AO230" s="80"/>
      <c r="AP230" s="75"/>
      <c r="AQ230" s="75"/>
      <c r="AR230" s="75"/>
      <c r="AS230" s="60" t="n">
        <f aca="false">SUM(AL230:AR230)</f>
        <v>0</v>
      </c>
      <c r="AT230" s="60" t="n">
        <f aca="false">AK230-AS230</f>
        <v>0</v>
      </c>
    </row>
    <row r="231" customFormat="false" ht="13.5" hidden="false" customHeight="true" outlineLevel="0" collapsed="false">
      <c r="A231" s="76"/>
      <c r="B231" s="77"/>
      <c r="C231" s="77"/>
      <c r="D231" s="78"/>
      <c r="E231" s="89" t="n">
        <v>0</v>
      </c>
      <c r="F231" s="79"/>
      <c r="G231" s="80"/>
      <c r="H231" s="80"/>
      <c r="I231" s="59" t="n">
        <f aca="false">SUM(F231:H231)</f>
        <v>0</v>
      </c>
      <c r="J231" s="60" t="n">
        <f aca="false">E231-I231</f>
        <v>0</v>
      </c>
      <c r="K231" s="80"/>
      <c r="L231" s="81"/>
      <c r="M231" s="82"/>
      <c r="N231" s="82"/>
      <c r="O231" s="82"/>
      <c r="P231" s="82"/>
      <c r="Q231" s="82"/>
      <c r="R231" s="59" t="n">
        <f aca="false">SUM(K231:Q231)</f>
        <v>0</v>
      </c>
      <c r="S231" s="60" t="n">
        <f aca="false">J231-R231</f>
        <v>0</v>
      </c>
      <c r="T231" s="82"/>
      <c r="U231" s="82"/>
      <c r="V231" s="83"/>
      <c r="W231" s="79"/>
      <c r="X231" s="80"/>
      <c r="Y231" s="80"/>
      <c r="Z231" s="80"/>
      <c r="AA231" s="59" t="n">
        <f aca="false">SUM(T231:Z231)</f>
        <v>0</v>
      </c>
      <c r="AB231" s="60" t="n">
        <f aca="false">S231-AA231</f>
        <v>0</v>
      </c>
      <c r="AC231" s="80"/>
      <c r="AD231" s="80"/>
      <c r="AE231" s="80"/>
      <c r="AF231" s="80"/>
      <c r="AG231" s="80"/>
      <c r="AH231" s="80"/>
      <c r="AI231" s="83"/>
      <c r="AJ231" s="65" t="n">
        <f aca="false">SUM(AC231:AI231)</f>
        <v>0</v>
      </c>
      <c r="AK231" s="60" t="n">
        <f aca="false">AB231-AJ231</f>
        <v>0</v>
      </c>
      <c r="AL231" s="80"/>
      <c r="AM231" s="80"/>
      <c r="AN231" s="80"/>
      <c r="AO231" s="80"/>
      <c r="AP231" s="75"/>
      <c r="AQ231" s="75"/>
      <c r="AR231" s="75"/>
      <c r="AS231" s="60" t="n">
        <f aca="false">SUM(AL231:AR231)</f>
        <v>0</v>
      </c>
      <c r="AT231" s="60" t="n">
        <f aca="false">AK231-AS231</f>
        <v>0</v>
      </c>
    </row>
    <row r="232" customFormat="false" ht="13.5" hidden="false" customHeight="true" outlineLevel="0" collapsed="false">
      <c r="A232" s="76"/>
      <c r="B232" s="77"/>
      <c r="C232" s="77"/>
      <c r="D232" s="78"/>
      <c r="E232" s="89" t="n">
        <v>0</v>
      </c>
      <c r="F232" s="79"/>
      <c r="G232" s="80"/>
      <c r="H232" s="80"/>
      <c r="I232" s="59" t="n">
        <f aca="false">SUM(F232:H232)</f>
        <v>0</v>
      </c>
      <c r="J232" s="60" t="n">
        <f aca="false">E232-I232</f>
        <v>0</v>
      </c>
      <c r="K232" s="80"/>
      <c r="L232" s="81"/>
      <c r="M232" s="82"/>
      <c r="N232" s="82"/>
      <c r="O232" s="82"/>
      <c r="P232" s="82"/>
      <c r="Q232" s="82"/>
      <c r="R232" s="59" t="n">
        <f aca="false">SUM(K232:Q232)</f>
        <v>0</v>
      </c>
      <c r="S232" s="60" t="n">
        <f aca="false">J232-R232</f>
        <v>0</v>
      </c>
      <c r="T232" s="82"/>
      <c r="U232" s="82"/>
      <c r="V232" s="83"/>
      <c r="W232" s="79"/>
      <c r="X232" s="80"/>
      <c r="Y232" s="80"/>
      <c r="Z232" s="80"/>
      <c r="AA232" s="59" t="n">
        <f aca="false">SUM(T232:Z232)</f>
        <v>0</v>
      </c>
      <c r="AB232" s="60" t="n">
        <f aca="false">S232-AA232</f>
        <v>0</v>
      </c>
      <c r="AC232" s="80"/>
      <c r="AD232" s="80"/>
      <c r="AE232" s="80"/>
      <c r="AF232" s="80"/>
      <c r="AG232" s="80"/>
      <c r="AH232" s="80"/>
      <c r="AI232" s="83"/>
      <c r="AJ232" s="65" t="n">
        <f aca="false">SUM(AC232:AI232)</f>
        <v>0</v>
      </c>
      <c r="AK232" s="60" t="n">
        <f aca="false">AB232-AJ232</f>
        <v>0</v>
      </c>
      <c r="AL232" s="80"/>
      <c r="AM232" s="80"/>
      <c r="AN232" s="80"/>
      <c r="AO232" s="80"/>
      <c r="AP232" s="75"/>
      <c r="AQ232" s="75"/>
      <c r="AR232" s="75"/>
      <c r="AS232" s="60" t="n">
        <f aca="false">SUM(AL232:AR232)</f>
        <v>0</v>
      </c>
      <c r="AT232" s="60" t="n">
        <f aca="false">AK232-AS232</f>
        <v>0</v>
      </c>
    </row>
    <row r="233" customFormat="false" ht="13.5" hidden="false" customHeight="true" outlineLevel="0" collapsed="false">
      <c r="A233" s="76"/>
      <c r="B233" s="77"/>
      <c r="C233" s="77"/>
      <c r="D233" s="78"/>
      <c r="E233" s="89" t="n">
        <v>0</v>
      </c>
      <c r="F233" s="79"/>
      <c r="G233" s="80"/>
      <c r="H233" s="80"/>
      <c r="I233" s="59" t="n">
        <f aca="false">SUM(F233:H233)</f>
        <v>0</v>
      </c>
      <c r="J233" s="60" t="n">
        <f aca="false">E233-I233</f>
        <v>0</v>
      </c>
      <c r="K233" s="80"/>
      <c r="L233" s="81"/>
      <c r="M233" s="82"/>
      <c r="N233" s="82"/>
      <c r="O233" s="82"/>
      <c r="P233" s="82"/>
      <c r="Q233" s="82"/>
      <c r="R233" s="59" t="n">
        <f aca="false">SUM(K233:Q233)</f>
        <v>0</v>
      </c>
      <c r="S233" s="60" t="n">
        <f aca="false">J233-R233</f>
        <v>0</v>
      </c>
      <c r="T233" s="82"/>
      <c r="U233" s="82"/>
      <c r="V233" s="83"/>
      <c r="W233" s="79"/>
      <c r="X233" s="80"/>
      <c r="Y233" s="80"/>
      <c r="Z233" s="80"/>
      <c r="AA233" s="59" t="n">
        <f aca="false">SUM(T233:Z233)</f>
        <v>0</v>
      </c>
      <c r="AB233" s="60" t="n">
        <f aca="false">S233-AA233</f>
        <v>0</v>
      </c>
      <c r="AC233" s="80"/>
      <c r="AD233" s="80"/>
      <c r="AE233" s="80"/>
      <c r="AF233" s="80"/>
      <c r="AG233" s="80"/>
      <c r="AH233" s="80"/>
      <c r="AI233" s="83"/>
      <c r="AJ233" s="65" t="n">
        <f aca="false">SUM(AC233:AI233)</f>
        <v>0</v>
      </c>
      <c r="AK233" s="60" t="n">
        <f aca="false">AB233-AJ233</f>
        <v>0</v>
      </c>
      <c r="AL233" s="80"/>
      <c r="AM233" s="80"/>
      <c r="AN233" s="80"/>
      <c r="AO233" s="80"/>
      <c r="AP233" s="75"/>
      <c r="AQ233" s="75"/>
      <c r="AR233" s="75"/>
      <c r="AS233" s="60" t="n">
        <f aca="false">SUM(AL233:AR233)</f>
        <v>0</v>
      </c>
      <c r="AT233" s="60" t="n">
        <f aca="false">AK233-AS233</f>
        <v>0</v>
      </c>
    </row>
    <row r="234" customFormat="false" ht="13.5" hidden="false" customHeight="true" outlineLevel="0" collapsed="false">
      <c r="A234" s="76"/>
      <c r="B234" s="77"/>
      <c r="C234" s="77"/>
      <c r="D234" s="78"/>
      <c r="E234" s="89" t="n">
        <v>0</v>
      </c>
      <c r="F234" s="79"/>
      <c r="G234" s="80"/>
      <c r="H234" s="80"/>
      <c r="I234" s="59" t="n">
        <f aca="false">SUM(F234:H234)</f>
        <v>0</v>
      </c>
      <c r="J234" s="60" t="n">
        <f aca="false">E234-I234</f>
        <v>0</v>
      </c>
      <c r="K234" s="80"/>
      <c r="L234" s="81"/>
      <c r="M234" s="82"/>
      <c r="N234" s="82"/>
      <c r="O234" s="82"/>
      <c r="P234" s="82"/>
      <c r="Q234" s="82"/>
      <c r="R234" s="59" t="n">
        <f aca="false">SUM(K234:Q234)</f>
        <v>0</v>
      </c>
      <c r="S234" s="60" t="n">
        <f aca="false">J234-R234</f>
        <v>0</v>
      </c>
      <c r="T234" s="82"/>
      <c r="U234" s="82"/>
      <c r="V234" s="83"/>
      <c r="W234" s="79"/>
      <c r="X234" s="80"/>
      <c r="Y234" s="80"/>
      <c r="Z234" s="80"/>
      <c r="AA234" s="59" t="n">
        <f aca="false">SUM(T234:Z234)</f>
        <v>0</v>
      </c>
      <c r="AB234" s="60" t="n">
        <f aca="false">S234-AA234</f>
        <v>0</v>
      </c>
      <c r="AC234" s="80"/>
      <c r="AD234" s="80"/>
      <c r="AE234" s="80"/>
      <c r="AF234" s="80"/>
      <c r="AG234" s="80"/>
      <c r="AH234" s="80"/>
      <c r="AI234" s="83"/>
      <c r="AJ234" s="65" t="n">
        <f aca="false">SUM(AC234:AI234)</f>
        <v>0</v>
      </c>
      <c r="AK234" s="60" t="n">
        <f aca="false">AB234-AJ234</f>
        <v>0</v>
      </c>
      <c r="AL234" s="80"/>
      <c r="AM234" s="80"/>
      <c r="AN234" s="80"/>
      <c r="AO234" s="80"/>
      <c r="AP234" s="75"/>
      <c r="AQ234" s="75"/>
      <c r="AR234" s="75"/>
      <c r="AS234" s="60" t="n">
        <f aca="false">SUM(AL234:AR234)</f>
        <v>0</v>
      </c>
      <c r="AT234" s="60" t="n">
        <f aca="false">AK234-AS234</f>
        <v>0</v>
      </c>
    </row>
    <row r="235" customFormat="false" ht="13.5" hidden="false" customHeight="true" outlineLevel="0" collapsed="false">
      <c r="A235" s="76"/>
      <c r="B235" s="77"/>
      <c r="C235" s="77"/>
      <c r="D235" s="78"/>
      <c r="E235" s="89" t="n">
        <v>0</v>
      </c>
      <c r="F235" s="79"/>
      <c r="G235" s="80"/>
      <c r="H235" s="80"/>
      <c r="I235" s="59" t="n">
        <f aca="false">SUM(F235:H235)</f>
        <v>0</v>
      </c>
      <c r="J235" s="60" t="n">
        <f aca="false">E235-I235</f>
        <v>0</v>
      </c>
      <c r="K235" s="80"/>
      <c r="L235" s="81"/>
      <c r="M235" s="82"/>
      <c r="N235" s="82"/>
      <c r="O235" s="82"/>
      <c r="P235" s="82"/>
      <c r="Q235" s="82"/>
      <c r="R235" s="59" t="n">
        <f aca="false">SUM(K235:Q235)</f>
        <v>0</v>
      </c>
      <c r="S235" s="60" t="n">
        <f aca="false">J235-R235</f>
        <v>0</v>
      </c>
      <c r="T235" s="82"/>
      <c r="U235" s="82"/>
      <c r="V235" s="83"/>
      <c r="W235" s="79"/>
      <c r="X235" s="80"/>
      <c r="Y235" s="80"/>
      <c r="Z235" s="80"/>
      <c r="AA235" s="59" t="n">
        <f aca="false">SUM(T235:Z235)</f>
        <v>0</v>
      </c>
      <c r="AB235" s="60" t="n">
        <f aca="false">S235-AA235</f>
        <v>0</v>
      </c>
      <c r="AC235" s="80"/>
      <c r="AD235" s="80"/>
      <c r="AE235" s="80"/>
      <c r="AF235" s="80"/>
      <c r="AG235" s="80"/>
      <c r="AH235" s="80"/>
      <c r="AI235" s="83"/>
      <c r="AJ235" s="65" t="n">
        <f aca="false">SUM(AC235:AI235)</f>
        <v>0</v>
      </c>
      <c r="AK235" s="60" t="n">
        <f aca="false">AB235-AJ235</f>
        <v>0</v>
      </c>
      <c r="AL235" s="80"/>
      <c r="AM235" s="80"/>
      <c r="AN235" s="80"/>
      <c r="AO235" s="80"/>
      <c r="AP235" s="75"/>
      <c r="AQ235" s="75"/>
      <c r="AR235" s="75"/>
      <c r="AS235" s="60" t="n">
        <f aca="false">SUM(AL235:AR235)</f>
        <v>0</v>
      </c>
      <c r="AT235" s="60" t="n">
        <f aca="false">AK235-AS235</f>
        <v>0</v>
      </c>
    </row>
    <row r="236" customFormat="false" ht="13.5" hidden="false" customHeight="true" outlineLevel="0" collapsed="false">
      <c r="A236" s="76"/>
      <c r="B236" s="77"/>
      <c r="C236" s="77"/>
      <c r="D236" s="78"/>
      <c r="E236" s="89" t="n">
        <v>0</v>
      </c>
      <c r="F236" s="79"/>
      <c r="G236" s="80"/>
      <c r="H236" s="80"/>
      <c r="I236" s="59" t="n">
        <f aca="false">SUM(F236:H236)</f>
        <v>0</v>
      </c>
      <c r="J236" s="60" t="n">
        <f aca="false">E236-I236</f>
        <v>0</v>
      </c>
      <c r="K236" s="80"/>
      <c r="L236" s="81"/>
      <c r="M236" s="81"/>
      <c r="N236" s="81"/>
      <c r="O236" s="81"/>
      <c r="P236" s="81"/>
      <c r="Q236" s="81"/>
      <c r="R236" s="59" t="n">
        <f aca="false">SUM(K236:Q236)</f>
        <v>0</v>
      </c>
      <c r="S236" s="60" t="n">
        <f aca="false">J236-R236</f>
        <v>0</v>
      </c>
      <c r="T236" s="81"/>
      <c r="U236" s="81"/>
      <c r="V236" s="80"/>
      <c r="W236" s="80"/>
      <c r="X236" s="80"/>
      <c r="Y236" s="80"/>
      <c r="Z236" s="80"/>
      <c r="AA236" s="59" t="n">
        <f aca="false">SUM(T236:Z236)</f>
        <v>0</v>
      </c>
      <c r="AB236" s="60" t="n">
        <f aca="false">S236-AA236</f>
        <v>0</v>
      </c>
      <c r="AC236" s="80"/>
      <c r="AD236" s="80"/>
      <c r="AE236" s="80"/>
      <c r="AF236" s="80"/>
      <c r="AG236" s="80"/>
      <c r="AH236" s="80"/>
      <c r="AI236" s="83"/>
      <c r="AJ236" s="65" t="n">
        <f aca="false">SUM(AC236:AI236)</f>
        <v>0</v>
      </c>
      <c r="AK236" s="60" t="n">
        <f aca="false">AB236-AJ236</f>
        <v>0</v>
      </c>
      <c r="AL236" s="80"/>
      <c r="AM236" s="80"/>
      <c r="AN236" s="80"/>
      <c r="AO236" s="80"/>
      <c r="AP236" s="75"/>
      <c r="AQ236" s="75"/>
      <c r="AR236" s="75"/>
      <c r="AS236" s="60" t="n">
        <f aca="false">SUM(AL236:AR236)</f>
        <v>0</v>
      </c>
      <c r="AT236" s="60" t="n">
        <f aca="false">AK236-AS236</f>
        <v>0</v>
      </c>
    </row>
    <row r="237" customFormat="false" ht="13.5" hidden="false" customHeight="true" outlineLevel="0" collapsed="false">
      <c r="A237" s="76"/>
      <c r="B237" s="77"/>
      <c r="C237" s="77"/>
      <c r="D237" s="78"/>
      <c r="E237" s="90"/>
      <c r="F237" s="79"/>
      <c r="G237" s="80"/>
      <c r="H237" s="80"/>
      <c r="I237" s="59" t="n">
        <f aca="false">SUM(F237:H237)</f>
        <v>0</v>
      </c>
      <c r="J237" s="59" t="n">
        <f aca="false">E237-I237</f>
        <v>0</v>
      </c>
      <c r="K237" s="80"/>
      <c r="L237" s="81"/>
      <c r="M237" s="81"/>
      <c r="N237" s="81"/>
      <c r="O237" s="81"/>
      <c r="P237" s="81"/>
      <c r="Q237" s="81"/>
      <c r="R237" s="59" t="n">
        <f aca="false">SUM(K237:Q237)</f>
        <v>0</v>
      </c>
      <c r="S237" s="60" t="n">
        <f aca="false">J237-R237</f>
        <v>0</v>
      </c>
      <c r="T237" s="81"/>
      <c r="U237" s="81"/>
      <c r="V237" s="80"/>
      <c r="W237" s="80"/>
      <c r="X237" s="80"/>
      <c r="Y237" s="80"/>
      <c r="Z237" s="80"/>
      <c r="AA237" s="59" t="n">
        <f aca="false">SUM(T237:Z237)</f>
        <v>0</v>
      </c>
      <c r="AB237" s="60" t="n">
        <f aca="false">S237-AA237</f>
        <v>0</v>
      </c>
      <c r="AC237" s="80"/>
      <c r="AD237" s="80"/>
      <c r="AE237" s="80"/>
      <c r="AF237" s="80"/>
      <c r="AG237" s="80"/>
      <c r="AH237" s="80"/>
      <c r="AI237" s="80"/>
      <c r="AJ237" s="65" t="n">
        <f aca="false">SUM(AC237:AI237)</f>
        <v>0</v>
      </c>
      <c r="AK237" s="60" t="n">
        <f aca="false">AB237-AJ237</f>
        <v>0</v>
      </c>
      <c r="AL237" s="80"/>
      <c r="AM237" s="80"/>
      <c r="AN237" s="80"/>
      <c r="AO237" s="80"/>
      <c r="AP237" s="81"/>
      <c r="AQ237" s="81"/>
      <c r="AR237" s="81"/>
      <c r="AS237" s="60" t="n">
        <f aca="false">SUM(AL237:AR237)</f>
        <v>0</v>
      </c>
      <c r="AT237" s="60" t="n">
        <f aca="false">AK237-AS237</f>
        <v>0</v>
      </c>
    </row>
    <row r="238" customFormat="false" ht="13.5" hidden="false" customHeight="true" outlineLevel="0" collapsed="false">
      <c r="A238" s="76"/>
      <c r="B238" s="77"/>
      <c r="C238" s="77"/>
      <c r="D238" s="78"/>
      <c r="E238" s="90"/>
      <c r="F238" s="79"/>
      <c r="G238" s="80"/>
      <c r="H238" s="80"/>
      <c r="I238" s="59" t="n">
        <f aca="false">SUM(F238:H238)</f>
        <v>0</v>
      </c>
      <c r="J238" s="59" t="n">
        <f aca="false">E238-I238</f>
        <v>0</v>
      </c>
      <c r="K238" s="80"/>
      <c r="L238" s="81"/>
      <c r="M238" s="81"/>
      <c r="N238" s="81"/>
      <c r="O238" s="81"/>
      <c r="P238" s="81"/>
      <c r="Q238" s="81"/>
      <c r="R238" s="59" t="n">
        <f aca="false">SUM(K238:Q238)</f>
        <v>0</v>
      </c>
      <c r="S238" s="60" t="n">
        <f aca="false">J238-R238</f>
        <v>0</v>
      </c>
      <c r="T238" s="81"/>
      <c r="U238" s="81"/>
      <c r="V238" s="80"/>
      <c r="W238" s="80"/>
      <c r="X238" s="80"/>
      <c r="Y238" s="80"/>
      <c r="Z238" s="80"/>
      <c r="AA238" s="59" t="n">
        <f aca="false">SUM(T238:Z238)</f>
        <v>0</v>
      </c>
      <c r="AB238" s="60" t="n">
        <f aca="false">S238-AA238</f>
        <v>0</v>
      </c>
      <c r="AC238" s="80"/>
      <c r="AD238" s="80"/>
      <c r="AE238" s="80"/>
      <c r="AF238" s="80"/>
      <c r="AG238" s="80"/>
      <c r="AH238" s="80"/>
      <c r="AI238" s="80"/>
      <c r="AJ238" s="65" t="n">
        <f aca="false">SUM(AC238:AI238)</f>
        <v>0</v>
      </c>
      <c r="AK238" s="60" t="n">
        <f aca="false">AB238-AJ238</f>
        <v>0</v>
      </c>
      <c r="AL238" s="80"/>
      <c r="AM238" s="80"/>
      <c r="AN238" s="80"/>
      <c r="AO238" s="80"/>
      <c r="AP238" s="81"/>
      <c r="AQ238" s="81"/>
      <c r="AR238" s="81"/>
      <c r="AS238" s="60" t="n">
        <f aca="false">SUM(AL238:AR238)</f>
        <v>0</v>
      </c>
      <c r="AT238" s="60" t="n">
        <f aca="false">AK238-AS238</f>
        <v>0</v>
      </c>
    </row>
    <row r="239" customFormat="false" ht="13.5" hidden="false" customHeight="true" outlineLevel="0" collapsed="false">
      <c r="A239" s="76"/>
      <c r="B239" s="77"/>
      <c r="C239" s="77"/>
      <c r="D239" s="78"/>
      <c r="E239" s="90"/>
      <c r="F239" s="79"/>
      <c r="G239" s="80"/>
      <c r="H239" s="80"/>
      <c r="I239" s="59" t="n">
        <f aca="false">SUM(F239:H239)</f>
        <v>0</v>
      </c>
      <c r="J239" s="59" t="n">
        <f aca="false">E239-I239</f>
        <v>0</v>
      </c>
      <c r="K239" s="80"/>
      <c r="L239" s="81"/>
      <c r="M239" s="81"/>
      <c r="N239" s="81"/>
      <c r="O239" s="81"/>
      <c r="P239" s="81"/>
      <c r="Q239" s="81"/>
      <c r="R239" s="59" t="n">
        <f aca="false">SUM(K239:Q239)</f>
        <v>0</v>
      </c>
      <c r="S239" s="60" t="n">
        <f aca="false">J239-R239</f>
        <v>0</v>
      </c>
      <c r="T239" s="81"/>
      <c r="U239" s="81"/>
      <c r="V239" s="80"/>
      <c r="W239" s="80"/>
      <c r="X239" s="80"/>
      <c r="Y239" s="80"/>
      <c r="Z239" s="80"/>
      <c r="AA239" s="59" t="n">
        <f aca="false">SUM(T239:Z239)</f>
        <v>0</v>
      </c>
      <c r="AB239" s="60" t="n">
        <f aca="false">S239-AA239</f>
        <v>0</v>
      </c>
      <c r="AC239" s="80"/>
      <c r="AD239" s="80"/>
      <c r="AE239" s="80"/>
      <c r="AF239" s="80"/>
      <c r="AG239" s="80"/>
      <c r="AH239" s="80"/>
      <c r="AI239" s="80"/>
      <c r="AJ239" s="65" t="n">
        <f aca="false">SUM(AC239:AI239)</f>
        <v>0</v>
      </c>
      <c r="AK239" s="60" t="n">
        <f aca="false">AB239-AJ239</f>
        <v>0</v>
      </c>
      <c r="AL239" s="80"/>
      <c r="AM239" s="80"/>
      <c r="AN239" s="80"/>
      <c r="AO239" s="80"/>
      <c r="AP239" s="81"/>
      <c r="AQ239" s="81"/>
      <c r="AR239" s="81"/>
      <c r="AS239" s="60" t="n">
        <f aca="false">SUM(AL239:AR239)</f>
        <v>0</v>
      </c>
      <c r="AT239" s="60" t="n">
        <f aca="false">AK239-AS239</f>
        <v>0</v>
      </c>
    </row>
    <row r="240" customFormat="false" ht="13.5" hidden="false" customHeight="true" outlineLevel="0" collapsed="false">
      <c r="A240" s="76"/>
      <c r="B240" s="77"/>
      <c r="C240" s="77"/>
      <c r="D240" s="78"/>
      <c r="E240" s="90"/>
      <c r="F240" s="79"/>
      <c r="G240" s="80"/>
      <c r="H240" s="80"/>
      <c r="I240" s="59" t="n">
        <f aca="false">SUM(F240:H240)</f>
        <v>0</v>
      </c>
      <c r="J240" s="59" t="n">
        <f aca="false">E240-I240</f>
        <v>0</v>
      </c>
      <c r="K240" s="80"/>
      <c r="L240" s="81"/>
      <c r="M240" s="81"/>
      <c r="N240" s="81"/>
      <c r="O240" s="81"/>
      <c r="P240" s="81"/>
      <c r="Q240" s="81"/>
      <c r="R240" s="59" t="n">
        <f aca="false">SUM(K240:Q240)</f>
        <v>0</v>
      </c>
      <c r="S240" s="60" t="n">
        <f aca="false">J240-R240</f>
        <v>0</v>
      </c>
      <c r="T240" s="81"/>
      <c r="U240" s="81"/>
      <c r="V240" s="80"/>
      <c r="W240" s="80"/>
      <c r="X240" s="80"/>
      <c r="Y240" s="80"/>
      <c r="Z240" s="80"/>
      <c r="AA240" s="59" t="n">
        <f aca="false">SUM(T240:Z240)</f>
        <v>0</v>
      </c>
      <c r="AB240" s="60" t="n">
        <f aca="false">S240-AA240</f>
        <v>0</v>
      </c>
      <c r="AC240" s="80"/>
      <c r="AD240" s="80"/>
      <c r="AE240" s="80"/>
      <c r="AF240" s="80"/>
      <c r="AG240" s="80"/>
      <c r="AH240" s="80"/>
      <c r="AI240" s="80"/>
      <c r="AJ240" s="65" t="n">
        <f aca="false">SUM(AC240:AI240)</f>
        <v>0</v>
      </c>
      <c r="AK240" s="60" t="n">
        <f aca="false">AB240-AJ240</f>
        <v>0</v>
      </c>
      <c r="AL240" s="80"/>
      <c r="AM240" s="80"/>
      <c r="AN240" s="80"/>
      <c r="AO240" s="80"/>
      <c r="AP240" s="81"/>
      <c r="AQ240" s="81"/>
      <c r="AR240" s="81"/>
      <c r="AS240" s="60" t="n">
        <f aca="false">SUM(AL240:AR240)</f>
        <v>0</v>
      </c>
      <c r="AT240" s="60" t="n">
        <f aca="false">AK240-AS240</f>
        <v>0</v>
      </c>
    </row>
    <row r="241" customFormat="false" ht="13.5" hidden="false" customHeight="true" outlineLevel="0" collapsed="false">
      <c r="A241" s="76"/>
      <c r="B241" s="77"/>
      <c r="C241" s="77"/>
      <c r="D241" s="78"/>
      <c r="E241" s="90"/>
      <c r="F241" s="79"/>
      <c r="G241" s="80"/>
      <c r="H241" s="80"/>
      <c r="I241" s="59" t="n">
        <f aca="false">SUM(F241:H241)</f>
        <v>0</v>
      </c>
      <c r="J241" s="59" t="n">
        <f aca="false">E241-I241</f>
        <v>0</v>
      </c>
      <c r="K241" s="80"/>
      <c r="L241" s="81"/>
      <c r="M241" s="81"/>
      <c r="N241" s="81"/>
      <c r="O241" s="81"/>
      <c r="P241" s="81"/>
      <c r="Q241" s="81"/>
      <c r="R241" s="59" t="n">
        <f aca="false">SUM(K241:Q241)</f>
        <v>0</v>
      </c>
      <c r="S241" s="60" t="n">
        <f aca="false">J241-R241</f>
        <v>0</v>
      </c>
      <c r="T241" s="81"/>
      <c r="U241" s="81"/>
      <c r="V241" s="80"/>
      <c r="W241" s="80"/>
      <c r="X241" s="80"/>
      <c r="Y241" s="80"/>
      <c r="Z241" s="80"/>
      <c r="AA241" s="59" t="n">
        <f aca="false">SUM(T241:Z241)</f>
        <v>0</v>
      </c>
      <c r="AB241" s="60" t="n">
        <f aca="false">S241-AA241</f>
        <v>0</v>
      </c>
      <c r="AC241" s="80"/>
      <c r="AD241" s="80"/>
      <c r="AE241" s="80"/>
      <c r="AF241" s="80"/>
      <c r="AG241" s="80"/>
      <c r="AH241" s="80"/>
      <c r="AI241" s="80"/>
      <c r="AJ241" s="65" t="n">
        <f aca="false">SUM(AC241:AI241)</f>
        <v>0</v>
      </c>
      <c r="AK241" s="60" t="n">
        <f aca="false">AB241-AJ241</f>
        <v>0</v>
      </c>
      <c r="AL241" s="80"/>
      <c r="AM241" s="80"/>
      <c r="AN241" s="80"/>
      <c r="AO241" s="80"/>
      <c r="AP241" s="81"/>
      <c r="AQ241" s="81"/>
      <c r="AR241" s="81"/>
      <c r="AS241" s="60" t="n">
        <f aca="false">SUM(AL241:AR241)</f>
        <v>0</v>
      </c>
      <c r="AT241" s="60" t="n">
        <f aca="false">AK241-AS241</f>
        <v>0</v>
      </c>
    </row>
    <row r="242" customFormat="false" ht="13.5" hidden="false" customHeight="true" outlineLevel="0" collapsed="false">
      <c r="A242" s="76"/>
      <c r="B242" s="77"/>
      <c r="C242" s="77"/>
      <c r="D242" s="78"/>
      <c r="E242" s="90"/>
      <c r="F242" s="79"/>
      <c r="G242" s="80"/>
      <c r="H242" s="80"/>
      <c r="I242" s="59" t="n">
        <f aca="false">SUM(F242:H242)</f>
        <v>0</v>
      </c>
      <c r="J242" s="59" t="n">
        <f aca="false">E242-I242</f>
        <v>0</v>
      </c>
      <c r="K242" s="80"/>
      <c r="L242" s="81"/>
      <c r="M242" s="81"/>
      <c r="N242" s="81"/>
      <c r="O242" s="81"/>
      <c r="P242" s="81"/>
      <c r="Q242" s="81"/>
      <c r="R242" s="59" t="n">
        <f aca="false">SUM(K242:Q242)</f>
        <v>0</v>
      </c>
      <c r="S242" s="60" t="n">
        <f aca="false">J242-R242</f>
        <v>0</v>
      </c>
      <c r="T242" s="81"/>
      <c r="U242" s="81"/>
      <c r="V242" s="80"/>
      <c r="W242" s="80"/>
      <c r="X242" s="80"/>
      <c r="Y242" s="80"/>
      <c r="Z242" s="80"/>
      <c r="AA242" s="59" t="n">
        <f aca="false">SUM(T242:Z242)</f>
        <v>0</v>
      </c>
      <c r="AB242" s="60" t="n">
        <f aca="false">S242-AA242</f>
        <v>0</v>
      </c>
      <c r="AC242" s="80"/>
      <c r="AD242" s="80"/>
      <c r="AE242" s="80"/>
      <c r="AF242" s="80"/>
      <c r="AG242" s="80"/>
      <c r="AH242" s="80"/>
      <c r="AI242" s="80"/>
      <c r="AJ242" s="65" t="n">
        <f aca="false">SUM(AC242:AI242)</f>
        <v>0</v>
      </c>
      <c r="AK242" s="60" t="n">
        <f aca="false">AB242-AJ242</f>
        <v>0</v>
      </c>
      <c r="AL242" s="80"/>
      <c r="AM242" s="80"/>
      <c r="AN242" s="80"/>
      <c r="AO242" s="80"/>
      <c r="AP242" s="81"/>
      <c r="AQ242" s="81"/>
      <c r="AR242" s="81"/>
      <c r="AS242" s="60" t="n">
        <f aca="false">SUM(AL242:AR242)</f>
        <v>0</v>
      </c>
      <c r="AT242" s="60" t="n">
        <f aca="false">AK242-AS242</f>
        <v>0</v>
      </c>
    </row>
    <row r="243" customFormat="false" ht="13.5" hidden="false" customHeight="true" outlineLevel="0" collapsed="false">
      <c r="A243" s="91"/>
      <c r="B243" s="92"/>
      <c r="C243" s="92"/>
      <c r="D243" s="93"/>
      <c r="E243" s="94"/>
      <c r="F243" s="95"/>
      <c r="G243" s="96"/>
      <c r="H243" s="96"/>
      <c r="I243" s="59" t="n">
        <f aca="false">SUM(F243:H243)</f>
        <v>0</v>
      </c>
      <c r="J243" s="59" t="n">
        <f aca="false">E243-I243</f>
        <v>0</v>
      </c>
      <c r="K243" s="96"/>
      <c r="L243" s="97"/>
      <c r="M243" s="97"/>
      <c r="N243" s="97"/>
      <c r="O243" s="97"/>
      <c r="P243" s="97"/>
      <c r="Q243" s="97"/>
      <c r="R243" s="59" t="n">
        <f aca="false">SUM(K243:Q243)</f>
        <v>0</v>
      </c>
      <c r="S243" s="98"/>
      <c r="T243" s="97"/>
      <c r="U243" s="97"/>
      <c r="V243" s="96"/>
      <c r="W243" s="96"/>
      <c r="X243" s="96"/>
      <c r="Y243" s="96"/>
      <c r="Z243" s="96"/>
      <c r="AA243" s="59" t="n">
        <f aca="false">SUM(T243:Z243)</f>
        <v>0</v>
      </c>
      <c r="AB243" s="60" t="n">
        <f aca="false">S243-AA243</f>
        <v>0</v>
      </c>
      <c r="AC243" s="96"/>
      <c r="AD243" s="96"/>
      <c r="AE243" s="96"/>
      <c r="AF243" s="96"/>
      <c r="AG243" s="96"/>
      <c r="AH243" s="96"/>
      <c r="AI243" s="96"/>
      <c r="AJ243" s="98"/>
      <c r="AK243" s="60" t="n">
        <f aca="false">AB243-AJ243</f>
        <v>0</v>
      </c>
      <c r="AL243" s="96"/>
      <c r="AM243" s="96"/>
      <c r="AN243" s="96"/>
      <c r="AO243" s="96"/>
      <c r="AP243" s="97"/>
      <c r="AQ243" s="97"/>
      <c r="AR243" s="97"/>
      <c r="AS243" s="60" t="n">
        <f aca="false">SUM(AL243:AR243)</f>
        <v>0</v>
      </c>
      <c r="AT243" s="60" t="n">
        <f aca="false">AK243-AS243</f>
        <v>0</v>
      </c>
    </row>
    <row r="244" customFormat="false" ht="13.5" hidden="false" customHeight="true" outlineLevel="0" collapsed="false">
      <c r="A244" s="99"/>
      <c r="B244" s="99"/>
      <c r="C244" s="99"/>
      <c r="D244" s="99"/>
      <c r="E244" s="100"/>
      <c r="R244" s="101"/>
      <c r="S244" s="101"/>
      <c r="AA244" s="101"/>
      <c r="AB244" s="60" t="n">
        <f aca="false">S244-AA244</f>
        <v>0</v>
      </c>
      <c r="AJ244" s="101"/>
      <c r="AK244" s="101"/>
      <c r="AP244" s="102"/>
      <c r="AQ244" s="102"/>
      <c r="AR244" s="102"/>
      <c r="AS244" s="101"/>
      <c r="AT244" s="60" t="e">
        <f aca="false">#ref!</f>
        <v>#NAME?</v>
      </c>
    </row>
    <row r="245" customFormat="false" ht="13.5" hidden="false" customHeight="true" outlineLevel="0" collapsed="false">
      <c r="A245" s="99"/>
      <c r="B245" s="99"/>
      <c r="C245" s="99"/>
      <c r="D245" s="99"/>
      <c r="E245" s="100"/>
      <c r="R245" s="101"/>
      <c r="S245" s="101"/>
      <c r="AA245" s="101"/>
      <c r="AB245" s="60" t="n">
        <f aca="false">S245-AA245</f>
        <v>0</v>
      </c>
      <c r="AJ245" s="101"/>
      <c r="AK245" s="101"/>
      <c r="AP245" s="102"/>
      <c r="AQ245" s="102"/>
      <c r="AR245" s="102"/>
      <c r="AS245" s="101"/>
      <c r="AT245" s="60" t="e">
        <f aca="false">#ref!</f>
        <v>#NAME?</v>
      </c>
    </row>
    <row r="246" customFormat="false" ht="13.5" hidden="false" customHeight="true" outlineLevel="0" collapsed="false">
      <c r="A246" s="99"/>
      <c r="B246" s="99"/>
      <c r="C246" s="99"/>
      <c r="D246" s="99"/>
      <c r="E246" s="100"/>
      <c r="R246" s="101"/>
      <c r="S246" s="101"/>
      <c r="AA246" s="101"/>
      <c r="AB246" s="60" t="n">
        <f aca="false">S246-AA246</f>
        <v>0</v>
      </c>
      <c r="AJ246" s="101"/>
      <c r="AK246" s="101"/>
      <c r="AP246" s="102"/>
      <c r="AQ246" s="102"/>
      <c r="AR246" s="102"/>
      <c r="AS246" s="101"/>
      <c r="AT246" s="60" t="e">
        <f aca="false">#ref!</f>
        <v>#NAME?</v>
      </c>
    </row>
    <row r="247" customFormat="false" ht="13.5" hidden="false" customHeight="true" outlineLevel="0" collapsed="false">
      <c r="A247" s="99"/>
      <c r="B247" s="99"/>
      <c r="C247" s="99"/>
      <c r="D247" s="99"/>
      <c r="E247" s="100"/>
      <c r="R247" s="101"/>
      <c r="S247" s="101"/>
      <c r="AA247" s="101"/>
      <c r="AB247" s="101"/>
      <c r="AJ247" s="101"/>
      <c r="AK247" s="101"/>
      <c r="AP247" s="102"/>
      <c r="AQ247" s="102"/>
      <c r="AR247" s="102"/>
      <c r="AS247" s="101"/>
      <c r="AT247" s="60" t="e">
        <f aca="false">#ref!</f>
        <v>#NAME?</v>
      </c>
    </row>
    <row r="248" customFormat="false" ht="13.5" hidden="false" customHeight="true" outlineLevel="0" collapsed="false">
      <c r="A248" s="99"/>
      <c r="B248" s="99"/>
      <c r="C248" s="99"/>
      <c r="D248" s="99"/>
      <c r="E248" s="100"/>
      <c r="R248" s="101"/>
      <c r="S248" s="101"/>
      <c r="AA248" s="101"/>
      <c r="AB248" s="101"/>
      <c r="AJ248" s="101"/>
      <c r="AK248" s="101"/>
      <c r="AP248" s="102"/>
      <c r="AQ248" s="102"/>
      <c r="AR248" s="102"/>
      <c r="AS248" s="101"/>
      <c r="AT248" s="60" t="e">
        <f aca="false">#ref!</f>
        <v>#NAME?</v>
      </c>
    </row>
    <row r="249" customFormat="false" ht="13.5" hidden="false" customHeight="true" outlineLevel="0" collapsed="false">
      <c r="A249" s="99"/>
      <c r="B249" s="99"/>
      <c r="C249" s="99"/>
      <c r="D249" s="99"/>
      <c r="E249" s="100"/>
      <c r="R249" s="101"/>
      <c r="S249" s="101"/>
      <c r="AA249" s="101"/>
      <c r="AB249" s="101"/>
      <c r="AJ249" s="101"/>
      <c r="AK249" s="101"/>
      <c r="AP249" s="102"/>
      <c r="AQ249" s="102"/>
      <c r="AR249" s="102"/>
      <c r="AS249" s="101"/>
      <c r="AT249" s="60" t="e">
        <f aca="false">#ref!</f>
        <v>#NAME?</v>
      </c>
    </row>
    <row r="250" customFormat="false" ht="13.5" hidden="false" customHeight="true" outlineLevel="0" collapsed="false">
      <c r="A250" s="99"/>
      <c r="B250" s="99"/>
      <c r="C250" s="99"/>
      <c r="D250" s="99"/>
      <c r="E250" s="100"/>
      <c r="R250" s="101"/>
      <c r="S250" s="101"/>
      <c r="AA250" s="101"/>
      <c r="AB250" s="101"/>
      <c r="AJ250" s="101"/>
      <c r="AK250" s="101"/>
      <c r="AP250" s="102"/>
      <c r="AQ250" s="102"/>
      <c r="AR250" s="102"/>
      <c r="AS250" s="101"/>
      <c r="AT250" s="60" t="e">
        <f aca="false">#ref!</f>
        <v>#NAME?</v>
      </c>
    </row>
    <row r="251" customFormat="false" ht="13.5" hidden="false" customHeight="true" outlineLevel="0" collapsed="false">
      <c r="A251" s="99"/>
      <c r="B251" s="99"/>
      <c r="C251" s="99"/>
      <c r="D251" s="99"/>
      <c r="E251" s="100"/>
      <c r="R251" s="101"/>
      <c r="S251" s="101"/>
      <c r="AA251" s="101"/>
      <c r="AB251" s="101"/>
      <c r="AJ251" s="101"/>
      <c r="AK251" s="101"/>
      <c r="AP251" s="102"/>
      <c r="AQ251" s="102"/>
      <c r="AR251" s="102"/>
      <c r="AS251" s="101"/>
      <c r="AT251" s="60" t="e">
        <f aca="false">#ref!</f>
        <v>#NAME?</v>
      </c>
    </row>
    <row r="252" customFormat="false" ht="13.5" hidden="false" customHeight="true" outlineLevel="0" collapsed="false">
      <c r="A252" s="99"/>
      <c r="B252" s="99"/>
      <c r="C252" s="99"/>
      <c r="D252" s="99"/>
      <c r="E252" s="100"/>
      <c r="R252" s="101"/>
      <c r="S252" s="101"/>
      <c r="AA252" s="101"/>
      <c r="AB252" s="101"/>
      <c r="AJ252" s="101"/>
      <c r="AK252" s="101"/>
      <c r="AP252" s="102"/>
      <c r="AQ252" s="102"/>
      <c r="AR252" s="102"/>
      <c r="AS252" s="101"/>
      <c r="AT252" s="60" t="e">
        <f aca="false">#ref!</f>
        <v>#NAME?</v>
      </c>
    </row>
    <row r="253" customFormat="false" ht="13.5" hidden="false" customHeight="true" outlineLevel="0" collapsed="false">
      <c r="A253" s="99"/>
      <c r="B253" s="99"/>
      <c r="C253" s="99"/>
      <c r="D253" s="99"/>
      <c r="E253" s="100"/>
      <c r="R253" s="101"/>
      <c r="S253" s="101"/>
      <c r="AA253" s="101"/>
      <c r="AB253" s="101"/>
      <c r="AJ253" s="101"/>
      <c r="AK253" s="101"/>
      <c r="AP253" s="102"/>
      <c r="AQ253" s="102"/>
      <c r="AR253" s="102"/>
      <c r="AS253" s="101"/>
      <c r="AT253" s="60" t="e">
        <f aca="false">#ref!</f>
        <v>#NAME?</v>
      </c>
    </row>
    <row r="254" customFormat="false" ht="13.5" hidden="false" customHeight="true" outlineLevel="0" collapsed="false">
      <c r="A254" s="99"/>
      <c r="B254" s="99"/>
      <c r="C254" s="99"/>
      <c r="D254" s="99"/>
      <c r="E254" s="100"/>
      <c r="R254" s="101"/>
      <c r="S254" s="101"/>
      <c r="AA254" s="101"/>
      <c r="AB254" s="101"/>
      <c r="AJ254" s="101"/>
      <c r="AK254" s="101"/>
      <c r="AP254" s="102"/>
      <c r="AQ254" s="102"/>
      <c r="AR254" s="102"/>
      <c r="AS254" s="101"/>
      <c r="AT254" s="60" t="e">
        <f aca="false">#ref!</f>
        <v>#NAME?</v>
      </c>
    </row>
    <row r="255" customFormat="false" ht="13.5" hidden="false" customHeight="true" outlineLevel="0" collapsed="false">
      <c r="A255" s="99"/>
      <c r="B255" s="99"/>
      <c r="C255" s="99"/>
      <c r="D255" s="99"/>
      <c r="E255" s="100"/>
      <c r="R255" s="101"/>
      <c r="S255" s="101"/>
      <c r="AA255" s="101"/>
      <c r="AB255" s="101"/>
      <c r="AJ255" s="101"/>
      <c r="AK255" s="101"/>
      <c r="AP255" s="102"/>
      <c r="AQ255" s="102"/>
      <c r="AR255" s="102"/>
      <c r="AS255" s="101"/>
      <c r="AT255" s="60" t="e">
        <f aca="false">#ref!</f>
        <v>#NAME?</v>
      </c>
    </row>
    <row r="256" customFormat="false" ht="13.5" hidden="false" customHeight="true" outlineLevel="0" collapsed="false">
      <c r="A256" s="99"/>
      <c r="B256" s="99"/>
      <c r="C256" s="99"/>
      <c r="D256" s="99"/>
      <c r="E256" s="100"/>
      <c r="R256" s="101"/>
      <c r="S256" s="101"/>
      <c r="AA256" s="101"/>
      <c r="AB256" s="101"/>
      <c r="AJ256" s="101"/>
      <c r="AK256" s="101"/>
      <c r="AP256" s="102"/>
      <c r="AQ256" s="102"/>
      <c r="AR256" s="102"/>
      <c r="AS256" s="101"/>
      <c r="AT256" s="60" t="e">
        <f aca="false">#ref!</f>
        <v>#NAME?</v>
      </c>
    </row>
    <row r="257" customFormat="false" ht="13.5" hidden="false" customHeight="true" outlineLevel="0" collapsed="false">
      <c r="A257" s="99"/>
      <c r="B257" s="99"/>
      <c r="C257" s="99"/>
      <c r="D257" s="99"/>
      <c r="E257" s="100"/>
      <c r="R257" s="101"/>
      <c r="S257" s="101"/>
      <c r="AA257" s="101"/>
      <c r="AB257" s="101"/>
      <c r="AJ257" s="101"/>
      <c r="AK257" s="101"/>
      <c r="AP257" s="102"/>
      <c r="AQ257" s="102"/>
      <c r="AR257" s="102"/>
      <c r="AS257" s="101"/>
      <c r="AT257" s="60" t="e">
        <f aca="false">#ref!</f>
        <v>#NAME?</v>
      </c>
    </row>
    <row r="258" customFormat="false" ht="13.5" hidden="false" customHeight="true" outlineLevel="0" collapsed="false">
      <c r="A258" s="99"/>
      <c r="B258" s="99"/>
      <c r="C258" s="99"/>
      <c r="D258" s="99"/>
      <c r="E258" s="100"/>
      <c r="R258" s="101"/>
      <c r="S258" s="101"/>
      <c r="AA258" s="101"/>
      <c r="AB258" s="101"/>
      <c r="AJ258" s="101"/>
      <c r="AK258" s="101"/>
      <c r="AP258" s="102"/>
      <c r="AQ258" s="102"/>
      <c r="AR258" s="102"/>
      <c r="AS258" s="101"/>
      <c r="AT258" s="60" t="e">
        <f aca="false">#ref!</f>
        <v>#NAME?</v>
      </c>
    </row>
    <row r="259" customFormat="false" ht="13.5" hidden="false" customHeight="true" outlineLevel="0" collapsed="false">
      <c r="A259" s="99"/>
      <c r="B259" s="99"/>
      <c r="C259" s="99"/>
      <c r="D259" s="99"/>
      <c r="E259" s="100"/>
      <c r="R259" s="101"/>
      <c r="S259" s="101"/>
      <c r="AA259" s="101"/>
      <c r="AB259" s="101"/>
      <c r="AJ259" s="101"/>
      <c r="AK259" s="101"/>
      <c r="AP259" s="102"/>
      <c r="AQ259" s="102"/>
      <c r="AR259" s="102"/>
      <c r="AS259" s="101"/>
      <c r="AT259" s="60" t="e">
        <f aca="false">#ref!</f>
        <v>#NAME?</v>
      </c>
    </row>
    <row r="260" customFormat="false" ht="13.5" hidden="false" customHeight="true" outlineLevel="0" collapsed="false">
      <c r="A260" s="99"/>
      <c r="B260" s="99"/>
      <c r="C260" s="99"/>
      <c r="D260" s="99"/>
      <c r="E260" s="100"/>
      <c r="R260" s="101"/>
      <c r="S260" s="101"/>
      <c r="AA260" s="101"/>
      <c r="AB260" s="101"/>
      <c r="AJ260" s="101"/>
      <c r="AK260" s="101"/>
      <c r="AP260" s="102"/>
      <c r="AQ260" s="102"/>
      <c r="AR260" s="102"/>
      <c r="AS260" s="101"/>
      <c r="AT260" s="60" t="e">
        <f aca="false">#ref!</f>
        <v>#NAME?</v>
      </c>
    </row>
    <row r="261" customFormat="false" ht="13.5" hidden="false" customHeight="true" outlineLevel="0" collapsed="false">
      <c r="A261" s="99"/>
      <c r="B261" s="99"/>
      <c r="C261" s="99"/>
      <c r="D261" s="99"/>
      <c r="E261" s="100"/>
      <c r="R261" s="101"/>
      <c r="S261" s="101"/>
      <c r="AA261" s="101"/>
      <c r="AB261" s="101"/>
      <c r="AJ261" s="101"/>
      <c r="AK261" s="101"/>
      <c r="AP261" s="102"/>
      <c r="AQ261" s="102"/>
      <c r="AR261" s="102"/>
      <c r="AS261" s="101"/>
      <c r="AT261" s="60" t="e">
        <f aca="false">#ref!</f>
        <v>#NAME?</v>
      </c>
    </row>
    <row r="262" customFormat="false" ht="13.5" hidden="false" customHeight="true" outlineLevel="0" collapsed="false">
      <c r="A262" s="99"/>
      <c r="B262" s="99"/>
      <c r="C262" s="99"/>
      <c r="D262" s="99"/>
      <c r="E262" s="100"/>
      <c r="R262" s="101"/>
      <c r="S262" s="101"/>
      <c r="AA262" s="101"/>
      <c r="AB262" s="101"/>
      <c r="AJ262" s="101"/>
      <c r="AK262" s="101"/>
      <c r="AP262" s="102"/>
      <c r="AQ262" s="102"/>
      <c r="AR262" s="102"/>
      <c r="AS262" s="101"/>
      <c r="AT262" s="60" t="e">
        <f aca="false">#ref!</f>
        <v>#NAME?</v>
      </c>
    </row>
    <row r="263" customFormat="false" ht="13.5" hidden="false" customHeight="true" outlineLevel="0" collapsed="false">
      <c r="A263" s="99"/>
      <c r="B263" s="99"/>
      <c r="C263" s="99"/>
      <c r="D263" s="99"/>
      <c r="E263" s="100"/>
      <c r="R263" s="101"/>
      <c r="S263" s="101"/>
      <c r="AA263" s="101"/>
      <c r="AB263" s="101"/>
      <c r="AJ263" s="101"/>
      <c r="AK263" s="101"/>
      <c r="AP263" s="102"/>
      <c r="AQ263" s="102"/>
      <c r="AR263" s="102"/>
      <c r="AS263" s="101"/>
      <c r="AT263" s="60" t="e">
        <f aca="false">#ref!</f>
        <v>#NAME?</v>
      </c>
    </row>
    <row r="264" customFormat="false" ht="13.5" hidden="false" customHeight="true" outlineLevel="0" collapsed="false">
      <c r="A264" s="99"/>
      <c r="B264" s="99"/>
      <c r="C264" s="99"/>
      <c r="D264" s="99"/>
      <c r="E264" s="100"/>
      <c r="R264" s="101"/>
      <c r="S264" s="101"/>
      <c r="AA264" s="101"/>
      <c r="AB264" s="101"/>
      <c r="AJ264" s="101"/>
      <c r="AK264" s="101"/>
      <c r="AP264" s="102"/>
      <c r="AQ264" s="102"/>
      <c r="AR264" s="102"/>
      <c r="AS264" s="101"/>
      <c r="AT264" s="60" t="e">
        <f aca="false">#ref!</f>
        <v>#NAME?</v>
      </c>
    </row>
    <row r="265" customFormat="false" ht="13.5" hidden="false" customHeight="true" outlineLevel="0" collapsed="false">
      <c r="A265" s="99"/>
      <c r="B265" s="99"/>
      <c r="C265" s="99"/>
      <c r="D265" s="99"/>
      <c r="E265" s="100"/>
      <c r="R265" s="101"/>
      <c r="S265" s="101"/>
      <c r="AA265" s="101"/>
      <c r="AB265" s="101"/>
      <c r="AJ265" s="101"/>
      <c r="AK265" s="101"/>
      <c r="AP265" s="102"/>
      <c r="AQ265" s="102"/>
      <c r="AR265" s="102"/>
      <c r="AS265" s="101"/>
      <c r="AT265" s="60" t="e">
        <f aca="false">#ref!</f>
        <v>#NAME?</v>
      </c>
    </row>
    <row r="266" customFormat="false" ht="13.5" hidden="false" customHeight="true" outlineLevel="0" collapsed="false">
      <c r="A266" s="99"/>
      <c r="B266" s="99"/>
      <c r="C266" s="99"/>
      <c r="D266" s="99"/>
      <c r="E266" s="100"/>
      <c r="R266" s="101"/>
      <c r="S266" s="101"/>
      <c r="AA266" s="101"/>
      <c r="AB266" s="101"/>
      <c r="AJ266" s="101"/>
      <c r="AK266" s="101"/>
      <c r="AP266" s="102"/>
      <c r="AQ266" s="102"/>
      <c r="AR266" s="102"/>
      <c r="AS266" s="101"/>
      <c r="AT266" s="60" t="e">
        <f aca="false">#ref!</f>
        <v>#NAME?</v>
      </c>
    </row>
    <row r="267" customFormat="false" ht="13.5" hidden="false" customHeight="true" outlineLevel="0" collapsed="false">
      <c r="A267" s="99"/>
      <c r="B267" s="99"/>
      <c r="C267" s="99"/>
      <c r="D267" s="99"/>
      <c r="E267" s="100"/>
      <c r="R267" s="101"/>
      <c r="S267" s="101"/>
      <c r="AA267" s="101"/>
      <c r="AB267" s="101"/>
      <c r="AJ267" s="101"/>
      <c r="AK267" s="101"/>
      <c r="AP267" s="102"/>
      <c r="AQ267" s="102"/>
      <c r="AR267" s="102"/>
      <c r="AS267" s="101"/>
      <c r="AT267" s="60" t="e">
        <f aca="false">#ref!</f>
        <v>#NAME?</v>
      </c>
    </row>
    <row r="268" customFormat="false" ht="13.5" hidden="false" customHeight="true" outlineLevel="0" collapsed="false">
      <c r="A268" s="99"/>
      <c r="B268" s="99"/>
      <c r="C268" s="99"/>
      <c r="D268" s="99"/>
      <c r="E268" s="100"/>
      <c r="R268" s="101"/>
      <c r="S268" s="101"/>
      <c r="AA268" s="101"/>
      <c r="AB268" s="101"/>
      <c r="AJ268" s="101"/>
      <c r="AK268" s="101"/>
      <c r="AP268" s="102"/>
      <c r="AQ268" s="102"/>
      <c r="AR268" s="102"/>
      <c r="AS268" s="101"/>
      <c r="AT268" s="60" t="e">
        <f aca="false">#ref!</f>
        <v>#NAME?</v>
      </c>
    </row>
    <row r="269" customFormat="false" ht="13.5" hidden="false" customHeight="true" outlineLevel="0" collapsed="false">
      <c r="A269" s="99"/>
      <c r="B269" s="99"/>
      <c r="C269" s="99"/>
      <c r="D269" s="99"/>
      <c r="E269" s="100"/>
      <c r="R269" s="101"/>
      <c r="S269" s="101"/>
      <c r="AA269" s="101"/>
      <c r="AB269" s="101"/>
      <c r="AJ269" s="101"/>
      <c r="AK269" s="101"/>
      <c r="AP269" s="102"/>
      <c r="AQ269" s="102"/>
      <c r="AR269" s="102"/>
      <c r="AS269" s="101"/>
      <c r="AT269" s="60" t="e">
        <f aca="false">#ref!</f>
        <v>#NAME?</v>
      </c>
    </row>
    <row r="270" customFormat="false" ht="13.5" hidden="false" customHeight="true" outlineLevel="0" collapsed="false">
      <c r="A270" s="99"/>
      <c r="B270" s="99"/>
      <c r="C270" s="99"/>
      <c r="D270" s="99"/>
      <c r="E270" s="100"/>
      <c r="R270" s="101"/>
      <c r="S270" s="101"/>
      <c r="AA270" s="101"/>
      <c r="AB270" s="101"/>
      <c r="AJ270" s="101"/>
      <c r="AK270" s="101"/>
      <c r="AP270" s="102"/>
      <c r="AQ270" s="102"/>
      <c r="AR270" s="102"/>
      <c r="AS270" s="101"/>
      <c r="AT270" s="60" t="e">
        <f aca="false">#ref!</f>
        <v>#NAME?</v>
      </c>
    </row>
    <row r="271" customFormat="false" ht="13.5" hidden="false" customHeight="true" outlineLevel="0" collapsed="false">
      <c r="A271" s="99"/>
      <c r="B271" s="99"/>
      <c r="C271" s="99"/>
      <c r="D271" s="99"/>
      <c r="E271" s="100"/>
      <c r="R271" s="101"/>
      <c r="S271" s="101"/>
      <c r="AA271" s="101"/>
      <c r="AB271" s="101"/>
      <c r="AJ271" s="101"/>
      <c r="AK271" s="101"/>
      <c r="AP271" s="102"/>
      <c r="AQ271" s="102"/>
      <c r="AR271" s="102"/>
      <c r="AS271" s="101"/>
      <c r="AT271" s="60" t="e">
        <f aca="false">#ref!</f>
        <v>#NAME?</v>
      </c>
    </row>
    <row r="272" customFormat="false" ht="13.5" hidden="false" customHeight="true" outlineLevel="0" collapsed="false">
      <c r="A272" s="99"/>
      <c r="B272" s="99"/>
      <c r="C272" s="99"/>
      <c r="D272" s="99"/>
      <c r="E272" s="100"/>
      <c r="R272" s="101"/>
      <c r="S272" s="101"/>
      <c r="AA272" s="101"/>
      <c r="AB272" s="101"/>
      <c r="AJ272" s="101"/>
      <c r="AK272" s="101"/>
      <c r="AP272" s="102"/>
      <c r="AQ272" s="102"/>
      <c r="AR272" s="102"/>
      <c r="AS272" s="101"/>
      <c r="AT272" s="60" t="e">
        <f aca="false">#ref!</f>
        <v>#NAME?</v>
      </c>
    </row>
    <row r="273" customFormat="false" ht="13.5" hidden="false" customHeight="true" outlineLevel="0" collapsed="false">
      <c r="A273" s="99"/>
      <c r="B273" s="99"/>
      <c r="C273" s="99"/>
      <c r="D273" s="99"/>
      <c r="E273" s="100"/>
      <c r="R273" s="101"/>
      <c r="S273" s="101"/>
      <c r="AA273" s="101"/>
      <c r="AB273" s="101"/>
      <c r="AJ273" s="101"/>
      <c r="AK273" s="101"/>
      <c r="AP273" s="102"/>
      <c r="AQ273" s="102"/>
      <c r="AR273" s="102"/>
      <c r="AS273" s="101"/>
      <c r="AT273" s="60" t="e">
        <f aca="false">#ref!</f>
        <v>#NAME?</v>
      </c>
    </row>
    <row r="274" customFormat="false" ht="13.5" hidden="false" customHeight="true" outlineLevel="0" collapsed="false">
      <c r="A274" s="99"/>
      <c r="B274" s="99"/>
      <c r="C274" s="99"/>
      <c r="D274" s="99"/>
      <c r="E274" s="100"/>
      <c r="R274" s="101"/>
      <c r="S274" s="101"/>
      <c r="AA274" s="101"/>
      <c r="AB274" s="101"/>
      <c r="AJ274" s="101"/>
      <c r="AK274" s="101"/>
      <c r="AP274" s="102"/>
      <c r="AQ274" s="102"/>
      <c r="AR274" s="102"/>
      <c r="AS274" s="101"/>
      <c r="AT274" s="60" t="e">
        <f aca="false">#ref!</f>
        <v>#NAME?</v>
      </c>
    </row>
    <row r="275" customFormat="false" ht="13.5" hidden="false" customHeight="true" outlineLevel="0" collapsed="false">
      <c r="A275" s="99"/>
      <c r="B275" s="99"/>
      <c r="C275" s="99"/>
      <c r="D275" s="99"/>
      <c r="E275" s="100"/>
      <c r="R275" s="101"/>
      <c r="S275" s="101"/>
      <c r="AA275" s="101"/>
      <c r="AB275" s="101"/>
      <c r="AJ275" s="101"/>
      <c r="AK275" s="101"/>
      <c r="AP275" s="102"/>
      <c r="AQ275" s="102"/>
      <c r="AR275" s="102"/>
      <c r="AS275" s="101"/>
      <c r="AT275" s="60" t="e">
        <f aca="false">#ref!</f>
        <v>#NAME?</v>
      </c>
    </row>
    <row r="276" customFormat="false" ht="13.5" hidden="false" customHeight="true" outlineLevel="0" collapsed="false">
      <c r="A276" s="99"/>
      <c r="B276" s="99"/>
      <c r="C276" s="99"/>
      <c r="D276" s="99"/>
      <c r="E276" s="100"/>
      <c r="R276" s="101"/>
      <c r="S276" s="101"/>
      <c r="AA276" s="101"/>
      <c r="AB276" s="101"/>
      <c r="AJ276" s="101"/>
      <c r="AK276" s="101"/>
      <c r="AP276" s="102"/>
      <c r="AQ276" s="102"/>
      <c r="AR276" s="102"/>
      <c r="AS276" s="101"/>
      <c r="AT276" s="60" t="e">
        <f aca="false">#ref!</f>
        <v>#NAME?</v>
      </c>
    </row>
    <row r="277" customFormat="false" ht="13.5" hidden="false" customHeight="true" outlineLevel="0" collapsed="false">
      <c r="A277" s="99"/>
      <c r="B277" s="99"/>
      <c r="C277" s="99"/>
      <c r="D277" s="99"/>
      <c r="E277" s="100"/>
      <c r="R277" s="101"/>
      <c r="S277" s="101"/>
      <c r="AA277" s="101"/>
      <c r="AB277" s="101"/>
      <c r="AJ277" s="101"/>
      <c r="AK277" s="101"/>
      <c r="AP277" s="102"/>
      <c r="AQ277" s="102"/>
      <c r="AR277" s="102"/>
      <c r="AS277" s="101"/>
      <c r="AT277" s="60" t="e">
        <f aca="false">#ref!</f>
        <v>#NAME?</v>
      </c>
    </row>
    <row r="278" customFormat="false" ht="13.5" hidden="false" customHeight="true" outlineLevel="0" collapsed="false">
      <c r="A278" s="99"/>
      <c r="B278" s="99"/>
      <c r="C278" s="99"/>
      <c r="D278" s="99"/>
      <c r="E278" s="100"/>
      <c r="R278" s="101"/>
      <c r="S278" s="101"/>
      <c r="AA278" s="101"/>
      <c r="AB278" s="101"/>
      <c r="AJ278" s="101"/>
      <c r="AK278" s="101"/>
      <c r="AP278" s="102"/>
      <c r="AQ278" s="102"/>
      <c r="AR278" s="102"/>
      <c r="AS278" s="101"/>
      <c r="AT278" s="60" t="e">
        <f aca="false">#ref!</f>
        <v>#NAME?</v>
      </c>
    </row>
    <row r="279" customFormat="false" ht="13.5" hidden="false" customHeight="true" outlineLevel="0" collapsed="false">
      <c r="A279" s="99"/>
      <c r="B279" s="99"/>
      <c r="C279" s="99"/>
      <c r="D279" s="99"/>
      <c r="E279" s="100"/>
      <c r="R279" s="101"/>
      <c r="S279" s="101"/>
      <c r="AA279" s="101"/>
      <c r="AB279" s="101"/>
      <c r="AJ279" s="101"/>
      <c r="AK279" s="101"/>
      <c r="AP279" s="102"/>
      <c r="AQ279" s="102"/>
      <c r="AR279" s="102"/>
      <c r="AS279" s="101"/>
      <c r="AT279" s="60" t="e">
        <f aca="false">#ref!</f>
        <v>#NAME?</v>
      </c>
    </row>
    <row r="280" customFormat="false" ht="13.5" hidden="false" customHeight="true" outlineLevel="0" collapsed="false">
      <c r="A280" s="99"/>
      <c r="B280" s="99"/>
      <c r="C280" s="99"/>
      <c r="D280" s="99"/>
      <c r="E280" s="100"/>
      <c r="R280" s="101"/>
      <c r="S280" s="101"/>
      <c r="AA280" s="101"/>
      <c r="AB280" s="101"/>
      <c r="AJ280" s="101"/>
      <c r="AK280" s="101"/>
      <c r="AP280" s="102"/>
      <c r="AQ280" s="102"/>
      <c r="AR280" s="102"/>
      <c r="AS280" s="101"/>
      <c r="AT280" s="60" t="e">
        <f aca="false">#ref!</f>
        <v>#NAME?</v>
      </c>
    </row>
    <row r="281" customFormat="false" ht="13.5" hidden="false" customHeight="true" outlineLevel="0" collapsed="false">
      <c r="A281" s="99"/>
      <c r="B281" s="99"/>
      <c r="C281" s="99"/>
      <c r="D281" s="99"/>
      <c r="E281" s="100"/>
      <c r="R281" s="101"/>
      <c r="S281" s="101"/>
      <c r="AA281" s="101"/>
      <c r="AB281" s="101"/>
      <c r="AJ281" s="101"/>
      <c r="AK281" s="101"/>
      <c r="AP281" s="102"/>
      <c r="AQ281" s="102"/>
      <c r="AR281" s="102"/>
      <c r="AS281" s="101"/>
      <c r="AT281" s="101"/>
    </row>
    <row r="282" customFormat="false" ht="13.5" hidden="false" customHeight="true" outlineLevel="0" collapsed="false">
      <c r="A282" s="99"/>
      <c r="B282" s="99"/>
      <c r="C282" s="99"/>
      <c r="D282" s="99"/>
      <c r="E282" s="100"/>
      <c r="R282" s="101"/>
      <c r="S282" s="101"/>
      <c r="AA282" s="101"/>
      <c r="AB282" s="101"/>
      <c r="AJ282" s="101"/>
      <c r="AK282" s="101"/>
      <c r="AP282" s="102"/>
      <c r="AQ282" s="102"/>
      <c r="AR282" s="102"/>
      <c r="AS282" s="101"/>
      <c r="AT282" s="101"/>
    </row>
    <row r="283" customFormat="false" ht="13.5" hidden="false" customHeight="true" outlineLevel="0" collapsed="false">
      <c r="A283" s="99"/>
      <c r="B283" s="99"/>
      <c r="C283" s="99"/>
      <c r="D283" s="99"/>
      <c r="E283" s="100"/>
      <c r="R283" s="101"/>
      <c r="S283" s="101"/>
      <c r="AA283" s="101"/>
      <c r="AB283" s="101"/>
      <c r="AJ283" s="101"/>
      <c r="AK283" s="101"/>
      <c r="AP283" s="102"/>
      <c r="AQ283" s="102"/>
      <c r="AR283" s="102"/>
      <c r="AS283" s="101"/>
      <c r="AT283" s="101"/>
    </row>
    <row r="284" customFormat="false" ht="13.5" hidden="false" customHeight="true" outlineLevel="0" collapsed="false">
      <c r="A284" s="99"/>
      <c r="B284" s="99"/>
      <c r="C284" s="99"/>
      <c r="D284" s="99"/>
      <c r="E284" s="100"/>
      <c r="R284" s="101"/>
      <c r="S284" s="101"/>
      <c r="AA284" s="101"/>
      <c r="AB284" s="101"/>
      <c r="AJ284" s="101"/>
      <c r="AK284" s="101"/>
      <c r="AP284" s="102"/>
      <c r="AQ284" s="102"/>
      <c r="AR284" s="102"/>
      <c r="AS284" s="101"/>
      <c r="AT284" s="101"/>
    </row>
    <row r="285" customFormat="false" ht="13.5" hidden="false" customHeight="true" outlineLevel="0" collapsed="false">
      <c r="A285" s="99"/>
      <c r="B285" s="99"/>
      <c r="C285" s="99"/>
      <c r="D285" s="99"/>
      <c r="E285" s="100"/>
      <c r="R285" s="101"/>
      <c r="S285" s="101"/>
      <c r="AA285" s="101"/>
      <c r="AB285" s="101"/>
      <c r="AJ285" s="101"/>
      <c r="AK285" s="101"/>
      <c r="AP285" s="102"/>
      <c r="AQ285" s="102"/>
      <c r="AR285" s="102"/>
      <c r="AS285" s="101"/>
      <c r="AT285" s="101"/>
    </row>
    <row r="286" customFormat="false" ht="13.5" hidden="false" customHeight="true" outlineLevel="0" collapsed="false">
      <c r="A286" s="99"/>
      <c r="B286" s="99"/>
      <c r="C286" s="99"/>
      <c r="D286" s="99"/>
      <c r="E286" s="100"/>
      <c r="R286" s="101"/>
      <c r="S286" s="101"/>
      <c r="AA286" s="101"/>
      <c r="AB286" s="101"/>
      <c r="AJ286" s="101"/>
      <c r="AK286" s="101"/>
      <c r="AP286" s="102"/>
      <c r="AQ286" s="102"/>
      <c r="AR286" s="102"/>
      <c r="AS286" s="101"/>
      <c r="AT286" s="101"/>
    </row>
    <row r="287" customFormat="false" ht="13.5" hidden="false" customHeight="true" outlineLevel="0" collapsed="false">
      <c r="A287" s="99"/>
      <c r="B287" s="99"/>
      <c r="C287" s="99"/>
      <c r="D287" s="99"/>
      <c r="E287" s="100"/>
      <c r="R287" s="101"/>
      <c r="S287" s="101"/>
      <c r="AA287" s="101"/>
      <c r="AB287" s="101"/>
      <c r="AJ287" s="101"/>
      <c r="AK287" s="101"/>
      <c r="AP287" s="102"/>
      <c r="AQ287" s="102"/>
      <c r="AR287" s="102"/>
      <c r="AS287" s="101"/>
      <c r="AT287" s="101"/>
    </row>
    <row r="288" customFormat="false" ht="13.5" hidden="false" customHeight="true" outlineLevel="0" collapsed="false">
      <c r="A288" s="99"/>
      <c r="B288" s="99"/>
      <c r="C288" s="99"/>
      <c r="D288" s="99"/>
      <c r="E288" s="100"/>
      <c r="R288" s="101"/>
      <c r="S288" s="101"/>
      <c r="AA288" s="101"/>
      <c r="AB288" s="101"/>
      <c r="AJ288" s="101"/>
      <c r="AK288" s="101"/>
      <c r="AP288" s="102"/>
      <c r="AQ288" s="102"/>
      <c r="AR288" s="102"/>
      <c r="AS288" s="101"/>
      <c r="AT288" s="101"/>
    </row>
    <row r="289" customFormat="false" ht="13.5" hidden="false" customHeight="true" outlineLevel="0" collapsed="false">
      <c r="A289" s="99"/>
      <c r="B289" s="99"/>
      <c r="C289" s="99"/>
      <c r="D289" s="99"/>
      <c r="E289" s="100"/>
      <c r="R289" s="101"/>
      <c r="S289" s="101"/>
      <c r="AA289" s="101"/>
      <c r="AB289" s="101"/>
      <c r="AJ289" s="101"/>
      <c r="AK289" s="101"/>
      <c r="AP289" s="102"/>
      <c r="AQ289" s="102"/>
      <c r="AR289" s="102"/>
      <c r="AS289" s="101"/>
      <c r="AT289" s="101"/>
    </row>
    <row r="290" customFormat="false" ht="13.5" hidden="false" customHeight="true" outlineLevel="0" collapsed="false">
      <c r="A290" s="99"/>
      <c r="B290" s="99"/>
      <c r="C290" s="99"/>
      <c r="D290" s="99"/>
      <c r="E290" s="100"/>
      <c r="R290" s="101"/>
      <c r="S290" s="101"/>
      <c r="AA290" s="101"/>
      <c r="AB290" s="101"/>
      <c r="AJ290" s="101"/>
      <c r="AK290" s="101"/>
      <c r="AP290" s="102"/>
      <c r="AQ290" s="102"/>
      <c r="AR290" s="102"/>
      <c r="AS290" s="101"/>
      <c r="AT290" s="101"/>
    </row>
    <row r="291" customFormat="false" ht="13.5" hidden="false" customHeight="true" outlineLevel="0" collapsed="false">
      <c r="A291" s="99"/>
      <c r="B291" s="99"/>
      <c r="C291" s="99"/>
      <c r="D291" s="99"/>
      <c r="E291" s="100"/>
      <c r="R291" s="101"/>
      <c r="S291" s="101"/>
      <c r="AA291" s="101"/>
      <c r="AB291" s="101"/>
      <c r="AJ291" s="101"/>
      <c r="AK291" s="101"/>
      <c r="AP291" s="102"/>
      <c r="AQ291" s="102"/>
      <c r="AR291" s="102"/>
      <c r="AS291" s="101"/>
      <c r="AT291" s="101"/>
    </row>
    <row r="292" customFormat="false" ht="13.5" hidden="false" customHeight="true" outlineLevel="0" collapsed="false">
      <c r="A292" s="99"/>
      <c r="B292" s="99"/>
      <c r="C292" s="99"/>
      <c r="D292" s="99"/>
      <c r="E292" s="100"/>
      <c r="R292" s="101"/>
      <c r="S292" s="101"/>
      <c r="AA292" s="101"/>
      <c r="AB292" s="101"/>
      <c r="AJ292" s="101"/>
      <c r="AK292" s="101"/>
      <c r="AP292" s="102"/>
      <c r="AQ292" s="102"/>
      <c r="AR292" s="102"/>
      <c r="AS292" s="101"/>
      <c r="AT292" s="101"/>
    </row>
    <row r="293" customFormat="false" ht="13.5" hidden="false" customHeight="true" outlineLevel="0" collapsed="false">
      <c r="A293" s="99"/>
      <c r="B293" s="99"/>
      <c r="C293" s="99"/>
      <c r="D293" s="99"/>
      <c r="E293" s="100"/>
      <c r="R293" s="101"/>
      <c r="S293" s="101"/>
      <c r="AA293" s="101"/>
      <c r="AB293" s="101"/>
      <c r="AJ293" s="101"/>
      <c r="AK293" s="101"/>
      <c r="AP293" s="102"/>
      <c r="AQ293" s="102"/>
      <c r="AR293" s="102"/>
      <c r="AS293" s="101"/>
      <c r="AT293" s="101"/>
    </row>
    <row r="294" customFormat="false" ht="13.5" hidden="false" customHeight="true" outlineLevel="0" collapsed="false">
      <c r="A294" s="99"/>
      <c r="B294" s="99"/>
      <c r="C294" s="99"/>
      <c r="D294" s="99"/>
      <c r="E294" s="100"/>
      <c r="R294" s="101"/>
      <c r="S294" s="101"/>
      <c r="AA294" s="101"/>
      <c r="AB294" s="101"/>
      <c r="AJ294" s="101"/>
      <c r="AK294" s="101"/>
      <c r="AP294" s="102"/>
      <c r="AQ294" s="102"/>
      <c r="AR294" s="102"/>
      <c r="AS294" s="101"/>
      <c r="AT294" s="101"/>
    </row>
    <row r="295" customFormat="false" ht="13.5" hidden="false" customHeight="true" outlineLevel="0" collapsed="false">
      <c r="A295" s="99"/>
      <c r="B295" s="99"/>
      <c r="C295" s="99"/>
      <c r="D295" s="99"/>
      <c r="E295" s="100"/>
      <c r="R295" s="101"/>
      <c r="S295" s="101"/>
      <c r="AA295" s="101"/>
      <c r="AB295" s="101"/>
      <c r="AJ295" s="101"/>
      <c r="AK295" s="101"/>
      <c r="AP295" s="102"/>
      <c r="AQ295" s="102"/>
      <c r="AR295" s="102"/>
      <c r="AS295" s="101"/>
      <c r="AT295" s="101"/>
    </row>
    <row r="296" customFormat="false" ht="13.5" hidden="false" customHeight="true" outlineLevel="0" collapsed="false">
      <c r="A296" s="99"/>
      <c r="B296" s="99"/>
      <c r="C296" s="99"/>
      <c r="D296" s="99"/>
      <c r="E296" s="100"/>
      <c r="R296" s="101"/>
      <c r="S296" s="101"/>
      <c r="AA296" s="101"/>
      <c r="AB296" s="101"/>
      <c r="AJ296" s="101"/>
      <c r="AK296" s="101"/>
      <c r="AP296" s="102"/>
      <c r="AQ296" s="102"/>
      <c r="AR296" s="102"/>
      <c r="AS296" s="101"/>
      <c r="AT296" s="101"/>
    </row>
    <row r="297" customFormat="false" ht="13.5" hidden="false" customHeight="true" outlineLevel="0" collapsed="false">
      <c r="A297" s="99"/>
      <c r="B297" s="99"/>
      <c r="C297" s="99"/>
      <c r="D297" s="99"/>
      <c r="E297" s="100"/>
      <c r="R297" s="101"/>
      <c r="S297" s="101"/>
      <c r="AA297" s="101"/>
      <c r="AB297" s="101"/>
      <c r="AJ297" s="101"/>
      <c r="AK297" s="101"/>
      <c r="AP297" s="102"/>
      <c r="AQ297" s="102"/>
      <c r="AR297" s="102"/>
      <c r="AS297" s="101"/>
      <c r="AT297" s="101"/>
    </row>
    <row r="298" customFormat="false" ht="13.5" hidden="false" customHeight="true" outlineLevel="0" collapsed="false">
      <c r="A298" s="99"/>
      <c r="B298" s="99"/>
      <c r="C298" s="99"/>
      <c r="D298" s="99"/>
      <c r="E298" s="100"/>
      <c r="R298" s="101"/>
      <c r="S298" s="101"/>
      <c r="AA298" s="101"/>
      <c r="AB298" s="101"/>
      <c r="AJ298" s="101"/>
      <c r="AK298" s="101"/>
      <c r="AP298" s="102"/>
      <c r="AQ298" s="102"/>
      <c r="AR298" s="102"/>
      <c r="AS298" s="101"/>
      <c r="AT298" s="101"/>
    </row>
    <row r="299" customFormat="false" ht="13.5" hidden="false" customHeight="true" outlineLevel="0" collapsed="false">
      <c r="A299" s="99"/>
      <c r="B299" s="99"/>
      <c r="C299" s="99"/>
      <c r="D299" s="99"/>
      <c r="E299" s="100"/>
      <c r="R299" s="101"/>
      <c r="S299" s="101"/>
      <c r="AA299" s="101"/>
      <c r="AB299" s="101"/>
      <c r="AJ299" s="101"/>
      <c r="AK299" s="101"/>
      <c r="AP299" s="102"/>
      <c r="AQ299" s="102"/>
      <c r="AR299" s="102"/>
      <c r="AS299" s="101"/>
      <c r="AT299" s="101"/>
    </row>
    <row r="300" customFormat="false" ht="13.5" hidden="false" customHeight="true" outlineLevel="0" collapsed="false">
      <c r="A300" s="99"/>
      <c r="B300" s="99"/>
      <c r="C300" s="99"/>
      <c r="D300" s="99"/>
      <c r="E300" s="100"/>
      <c r="R300" s="101"/>
      <c r="S300" s="101"/>
      <c r="AA300" s="101"/>
      <c r="AB300" s="101"/>
      <c r="AJ300" s="101"/>
      <c r="AK300" s="101"/>
      <c r="AP300" s="102"/>
      <c r="AQ300" s="102"/>
      <c r="AR300" s="102"/>
      <c r="AS300" s="101"/>
      <c r="AT300" s="101"/>
    </row>
    <row r="301" customFormat="false" ht="13.5" hidden="false" customHeight="true" outlineLevel="0" collapsed="false">
      <c r="A301" s="99"/>
      <c r="B301" s="99"/>
      <c r="C301" s="99"/>
      <c r="D301" s="99"/>
      <c r="E301" s="100"/>
      <c r="R301" s="101"/>
      <c r="S301" s="101"/>
      <c r="AA301" s="101"/>
      <c r="AB301" s="101"/>
      <c r="AJ301" s="101"/>
      <c r="AK301" s="101"/>
      <c r="AP301" s="102"/>
      <c r="AQ301" s="102"/>
      <c r="AR301" s="102"/>
      <c r="AS301" s="101"/>
      <c r="AT301" s="101"/>
    </row>
    <row r="302" customFormat="false" ht="13.5" hidden="false" customHeight="true" outlineLevel="0" collapsed="false">
      <c r="A302" s="99"/>
      <c r="B302" s="99"/>
      <c r="C302" s="99"/>
      <c r="D302" s="99"/>
      <c r="E302" s="100"/>
      <c r="R302" s="101"/>
      <c r="S302" s="101"/>
      <c r="AA302" s="101"/>
      <c r="AB302" s="101"/>
      <c r="AJ302" s="101"/>
      <c r="AK302" s="101"/>
      <c r="AP302" s="102"/>
      <c r="AQ302" s="102"/>
      <c r="AR302" s="102"/>
      <c r="AS302" s="101"/>
      <c r="AT302" s="101"/>
    </row>
    <row r="303" customFormat="false" ht="13.5" hidden="false" customHeight="true" outlineLevel="0" collapsed="false">
      <c r="A303" s="99"/>
      <c r="B303" s="99"/>
      <c r="C303" s="99"/>
      <c r="D303" s="99"/>
      <c r="E303" s="100"/>
      <c r="R303" s="101"/>
      <c r="S303" s="101"/>
      <c r="AA303" s="101"/>
      <c r="AB303" s="101"/>
      <c r="AJ303" s="101"/>
      <c r="AK303" s="101"/>
      <c r="AP303" s="102"/>
      <c r="AQ303" s="102"/>
      <c r="AR303" s="102"/>
      <c r="AS303" s="101"/>
      <c r="AT303" s="101"/>
    </row>
    <row r="304" customFormat="false" ht="13.5" hidden="false" customHeight="true" outlineLevel="0" collapsed="false">
      <c r="A304" s="99"/>
      <c r="B304" s="99"/>
      <c r="C304" s="99"/>
      <c r="D304" s="99"/>
      <c r="E304" s="100"/>
      <c r="R304" s="101"/>
      <c r="S304" s="101"/>
      <c r="AA304" s="101"/>
      <c r="AB304" s="101"/>
      <c r="AJ304" s="101"/>
      <c r="AK304" s="101"/>
      <c r="AP304" s="102"/>
      <c r="AQ304" s="102"/>
      <c r="AR304" s="102"/>
      <c r="AS304" s="101"/>
      <c r="AT304" s="101"/>
    </row>
    <row r="305" customFormat="false" ht="13.5" hidden="false" customHeight="true" outlineLevel="0" collapsed="false">
      <c r="A305" s="99"/>
      <c r="B305" s="99"/>
      <c r="C305" s="99"/>
      <c r="D305" s="99"/>
      <c r="E305" s="100"/>
      <c r="R305" s="101"/>
      <c r="S305" s="101"/>
      <c r="AA305" s="101"/>
      <c r="AB305" s="101"/>
      <c r="AJ305" s="101"/>
      <c r="AK305" s="101"/>
      <c r="AP305" s="102"/>
      <c r="AQ305" s="102"/>
      <c r="AR305" s="102"/>
      <c r="AS305" s="101"/>
      <c r="AT305" s="101"/>
    </row>
    <row r="306" customFormat="false" ht="13.5" hidden="false" customHeight="true" outlineLevel="0" collapsed="false">
      <c r="A306" s="99"/>
      <c r="B306" s="99"/>
      <c r="C306" s="99"/>
      <c r="D306" s="99"/>
      <c r="E306" s="100"/>
      <c r="R306" s="101"/>
      <c r="S306" s="101"/>
      <c r="AA306" s="101"/>
      <c r="AB306" s="101"/>
      <c r="AJ306" s="101"/>
      <c r="AK306" s="101"/>
      <c r="AP306" s="102"/>
      <c r="AQ306" s="102"/>
      <c r="AR306" s="102"/>
      <c r="AS306" s="101"/>
      <c r="AT306" s="101"/>
    </row>
    <row r="307" customFormat="false" ht="13.5" hidden="false" customHeight="true" outlineLevel="0" collapsed="false">
      <c r="A307" s="99"/>
      <c r="B307" s="99"/>
      <c r="C307" s="99"/>
      <c r="D307" s="99"/>
      <c r="E307" s="100"/>
      <c r="R307" s="101"/>
      <c r="S307" s="101"/>
      <c r="AA307" s="101"/>
      <c r="AB307" s="101"/>
      <c r="AJ307" s="101"/>
      <c r="AK307" s="101"/>
      <c r="AP307" s="102"/>
      <c r="AQ307" s="102"/>
      <c r="AR307" s="102"/>
      <c r="AS307" s="101"/>
      <c r="AT307" s="101"/>
    </row>
    <row r="308" customFormat="false" ht="13.5" hidden="false" customHeight="true" outlineLevel="0" collapsed="false">
      <c r="A308" s="99"/>
      <c r="B308" s="99"/>
      <c r="C308" s="99"/>
      <c r="D308" s="99"/>
      <c r="E308" s="100"/>
      <c r="R308" s="101"/>
      <c r="S308" s="101"/>
      <c r="AA308" s="101"/>
      <c r="AB308" s="101"/>
      <c r="AJ308" s="101"/>
      <c r="AK308" s="101"/>
      <c r="AP308" s="102"/>
      <c r="AQ308" s="102"/>
      <c r="AR308" s="102"/>
      <c r="AS308" s="101"/>
      <c r="AT308" s="101"/>
    </row>
    <row r="309" customFormat="false" ht="13.5" hidden="false" customHeight="true" outlineLevel="0" collapsed="false">
      <c r="A309" s="99"/>
      <c r="B309" s="99"/>
      <c r="C309" s="99"/>
      <c r="D309" s="99"/>
      <c r="E309" s="100"/>
      <c r="R309" s="101"/>
      <c r="S309" s="101"/>
      <c r="AA309" s="101"/>
      <c r="AB309" s="101"/>
      <c r="AJ309" s="101"/>
      <c r="AK309" s="101"/>
      <c r="AP309" s="102"/>
      <c r="AQ309" s="102"/>
      <c r="AR309" s="102"/>
      <c r="AS309" s="101"/>
      <c r="AT309" s="101"/>
    </row>
    <row r="310" customFormat="false" ht="13.5" hidden="false" customHeight="true" outlineLevel="0" collapsed="false">
      <c r="A310" s="99"/>
      <c r="B310" s="99"/>
      <c r="C310" s="99"/>
      <c r="D310" s="99"/>
      <c r="E310" s="100"/>
      <c r="R310" s="101"/>
      <c r="S310" s="101"/>
      <c r="AA310" s="101"/>
      <c r="AB310" s="101"/>
      <c r="AJ310" s="101"/>
      <c r="AK310" s="101"/>
      <c r="AP310" s="102"/>
      <c r="AQ310" s="102"/>
      <c r="AR310" s="102"/>
      <c r="AS310" s="101"/>
      <c r="AT310" s="101"/>
    </row>
    <row r="311" customFormat="false" ht="13.5" hidden="false" customHeight="true" outlineLevel="0" collapsed="false">
      <c r="A311" s="99"/>
      <c r="B311" s="99"/>
      <c r="C311" s="99"/>
      <c r="D311" s="99"/>
      <c r="E311" s="100"/>
      <c r="R311" s="101"/>
      <c r="S311" s="101"/>
      <c r="AA311" s="101"/>
      <c r="AB311" s="101"/>
      <c r="AJ311" s="101"/>
      <c r="AK311" s="101"/>
      <c r="AP311" s="102"/>
      <c r="AQ311" s="102"/>
      <c r="AR311" s="102"/>
      <c r="AS311" s="101"/>
      <c r="AT311" s="101"/>
    </row>
    <row r="312" customFormat="false" ht="13.5" hidden="false" customHeight="true" outlineLevel="0" collapsed="false">
      <c r="A312" s="99"/>
      <c r="B312" s="99"/>
      <c r="C312" s="99"/>
      <c r="D312" s="99"/>
      <c r="E312" s="100"/>
      <c r="R312" s="101"/>
      <c r="S312" s="101"/>
      <c r="AA312" s="101"/>
      <c r="AB312" s="101"/>
      <c r="AJ312" s="101"/>
      <c r="AK312" s="101"/>
      <c r="AP312" s="102"/>
      <c r="AQ312" s="102"/>
      <c r="AR312" s="102"/>
      <c r="AS312" s="101"/>
      <c r="AT312" s="101"/>
    </row>
    <row r="313" customFormat="false" ht="13.5" hidden="false" customHeight="true" outlineLevel="0" collapsed="false">
      <c r="A313" s="99"/>
      <c r="B313" s="99"/>
      <c r="C313" s="99"/>
      <c r="D313" s="99"/>
      <c r="E313" s="100"/>
      <c r="R313" s="101"/>
      <c r="S313" s="101"/>
      <c r="AA313" s="101"/>
      <c r="AB313" s="101"/>
      <c r="AJ313" s="101"/>
      <c r="AK313" s="101"/>
      <c r="AP313" s="102"/>
      <c r="AQ313" s="102"/>
      <c r="AR313" s="102"/>
      <c r="AS313" s="101"/>
      <c r="AT313" s="101"/>
    </row>
    <row r="314" customFormat="false" ht="13.5" hidden="false" customHeight="true" outlineLevel="0" collapsed="false">
      <c r="A314" s="99"/>
      <c r="B314" s="99"/>
      <c r="C314" s="99"/>
      <c r="D314" s="99"/>
      <c r="E314" s="100"/>
      <c r="R314" s="101"/>
      <c r="S314" s="101"/>
      <c r="AA314" s="101"/>
      <c r="AB314" s="101"/>
      <c r="AJ314" s="101"/>
      <c r="AK314" s="101"/>
      <c r="AP314" s="102"/>
      <c r="AQ314" s="102"/>
      <c r="AR314" s="102"/>
      <c r="AS314" s="101"/>
      <c r="AT314" s="101"/>
    </row>
    <row r="315" customFormat="false" ht="13.5" hidden="false" customHeight="true" outlineLevel="0" collapsed="false">
      <c r="A315" s="99"/>
      <c r="B315" s="99"/>
      <c r="C315" s="99"/>
      <c r="D315" s="99"/>
      <c r="E315" s="100"/>
      <c r="R315" s="101"/>
      <c r="S315" s="101"/>
      <c r="AA315" s="101"/>
      <c r="AB315" s="101"/>
      <c r="AJ315" s="101"/>
      <c r="AK315" s="101"/>
      <c r="AP315" s="102"/>
      <c r="AQ315" s="102"/>
      <c r="AR315" s="102"/>
      <c r="AS315" s="101"/>
      <c r="AT315" s="101"/>
    </row>
    <row r="316" customFormat="false" ht="13.5" hidden="false" customHeight="true" outlineLevel="0" collapsed="false">
      <c r="A316" s="99"/>
      <c r="B316" s="99"/>
      <c r="C316" s="99"/>
      <c r="D316" s="99"/>
      <c r="E316" s="100"/>
      <c r="R316" s="101"/>
      <c r="S316" s="101"/>
      <c r="AA316" s="101"/>
      <c r="AB316" s="101"/>
      <c r="AJ316" s="101"/>
      <c r="AK316" s="101"/>
      <c r="AP316" s="102"/>
      <c r="AQ316" s="102"/>
      <c r="AR316" s="102"/>
      <c r="AS316" s="101"/>
      <c r="AT316" s="101"/>
    </row>
    <row r="317" customFormat="false" ht="13.5" hidden="false" customHeight="true" outlineLevel="0" collapsed="false">
      <c r="A317" s="99"/>
      <c r="B317" s="99"/>
      <c r="C317" s="99"/>
      <c r="D317" s="99"/>
      <c r="E317" s="100"/>
      <c r="R317" s="101"/>
      <c r="S317" s="101"/>
      <c r="AA317" s="101"/>
      <c r="AB317" s="101"/>
      <c r="AJ317" s="101"/>
      <c r="AK317" s="101"/>
      <c r="AP317" s="102"/>
      <c r="AQ317" s="102"/>
      <c r="AR317" s="102"/>
      <c r="AS317" s="101"/>
      <c r="AT317" s="101"/>
    </row>
    <row r="318" customFormat="false" ht="13.5" hidden="false" customHeight="true" outlineLevel="0" collapsed="false">
      <c r="A318" s="99"/>
      <c r="B318" s="99"/>
      <c r="C318" s="99"/>
      <c r="D318" s="99"/>
      <c r="E318" s="100"/>
      <c r="R318" s="101"/>
      <c r="S318" s="101"/>
      <c r="AA318" s="101"/>
      <c r="AB318" s="101"/>
      <c r="AJ318" s="101"/>
      <c r="AK318" s="101"/>
      <c r="AP318" s="102"/>
      <c r="AQ318" s="102"/>
      <c r="AR318" s="102"/>
      <c r="AS318" s="101"/>
      <c r="AT318" s="101"/>
    </row>
    <row r="319" customFormat="false" ht="13.5" hidden="false" customHeight="true" outlineLevel="0" collapsed="false">
      <c r="A319" s="99"/>
      <c r="B319" s="99"/>
      <c r="C319" s="99"/>
      <c r="D319" s="99"/>
      <c r="E319" s="100"/>
      <c r="R319" s="101"/>
      <c r="S319" s="101"/>
      <c r="AA319" s="101"/>
      <c r="AB319" s="101"/>
      <c r="AJ319" s="101"/>
      <c r="AK319" s="101"/>
      <c r="AP319" s="102"/>
      <c r="AQ319" s="102"/>
      <c r="AR319" s="102"/>
      <c r="AS319" s="101"/>
      <c r="AT319" s="101"/>
    </row>
    <row r="320" customFormat="false" ht="13.5" hidden="false" customHeight="true" outlineLevel="0" collapsed="false">
      <c r="A320" s="99"/>
      <c r="B320" s="99"/>
      <c r="C320" s="99"/>
      <c r="D320" s="99"/>
      <c r="E320" s="100"/>
      <c r="R320" s="101"/>
      <c r="S320" s="101"/>
      <c r="AA320" s="101"/>
      <c r="AB320" s="101"/>
      <c r="AJ320" s="101"/>
      <c r="AK320" s="101"/>
      <c r="AP320" s="102"/>
      <c r="AQ320" s="102"/>
      <c r="AR320" s="102"/>
      <c r="AS320" s="101"/>
      <c r="AT320" s="101"/>
    </row>
    <row r="321" customFormat="false" ht="13.5" hidden="false" customHeight="true" outlineLevel="0" collapsed="false">
      <c r="A321" s="99"/>
      <c r="B321" s="99"/>
      <c r="C321" s="99"/>
      <c r="D321" s="99"/>
      <c r="E321" s="100"/>
      <c r="R321" s="101"/>
      <c r="S321" s="101"/>
      <c r="AA321" s="101"/>
      <c r="AB321" s="101"/>
      <c r="AJ321" s="101"/>
      <c r="AK321" s="101"/>
      <c r="AP321" s="102"/>
      <c r="AQ321" s="102"/>
      <c r="AR321" s="102"/>
      <c r="AS321" s="101"/>
      <c r="AT321" s="101"/>
    </row>
    <row r="322" customFormat="false" ht="13.5" hidden="false" customHeight="true" outlineLevel="0" collapsed="false">
      <c r="A322" s="99"/>
      <c r="B322" s="99"/>
      <c r="C322" s="99"/>
      <c r="D322" s="99"/>
      <c r="E322" s="100"/>
      <c r="R322" s="101"/>
      <c r="S322" s="101"/>
      <c r="AA322" s="101"/>
      <c r="AB322" s="101"/>
      <c r="AJ322" s="101"/>
      <c r="AK322" s="101"/>
      <c r="AP322" s="102"/>
      <c r="AQ322" s="102"/>
      <c r="AR322" s="102"/>
      <c r="AS322" s="101"/>
      <c r="AT322" s="101"/>
    </row>
    <row r="323" customFormat="false" ht="13.5" hidden="false" customHeight="true" outlineLevel="0" collapsed="false">
      <c r="A323" s="99"/>
      <c r="B323" s="99"/>
      <c r="C323" s="99"/>
      <c r="D323" s="99"/>
      <c r="E323" s="100"/>
      <c r="R323" s="101"/>
      <c r="S323" s="101"/>
      <c r="AA323" s="101"/>
      <c r="AB323" s="101"/>
      <c r="AJ323" s="101"/>
      <c r="AK323" s="101"/>
      <c r="AP323" s="102"/>
      <c r="AQ323" s="102"/>
      <c r="AR323" s="102"/>
      <c r="AS323" s="101"/>
      <c r="AT323" s="101"/>
    </row>
    <row r="324" customFormat="false" ht="13.5" hidden="false" customHeight="true" outlineLevel="0" collapsed="false">
      <c r="A324" s="99"/>
      <c r="B324" s="99"/>
      <c r="C324" s="99"/>
      <c r="D324" s="99"/>
      <c r="E324" s="100"/>
      <c r="R324" s="101"/>
      <c r="S324" s="101"/>
      <c r="AA324" s="101"/>
      <c r="AB324" s="101"/>
      <c r="AJ324" s="101"/>
      <c r="AK324" s="101"/>
      <c r="AP324" s="102"/>
      <c r="AQ324" s="102"/>
      <c r="AR324" s="102"/>
      <c r="AS324" s="101"/>
      <c r="AT324" s="101"/>
    </row>
    <row r="325" customFormat="false" ht="13.5" hidden="false" customHeight="true" outlineLevel="0" collapsed="false">
      <c r="A325" s="99"/>
      <c r="B325" s="99"/>
      <c r="C325" s="99"/>
      <c r="D325" s="99"/>
      <c r="E325" s="100"/>
      <c r="R325" s="101"/>
      <c r="S325" s="101"/>
      <c r="AA325" s="101"/>
      <c r="AB325" s="101"/>
      <c r="AJ325" s="101"/>
      <c r="AK325" s="101"/>
      <c r="AP325" s="102"/>
      <c r="AQ325" s="102"/>
      <c r="AR325" s="102"/>
      <c r="AS325" s="101"/>
      <c r="AT325" s="101"/>
    </row>
    <row r="326" customFormat="false" ht="13.5" hidden="false" customHeight="true" outlineLevel="0" collapsed="false">
      <c r="A326" s="99"/>
      <c r="B326" s="99"/>
      <c r="C326" s="99"/>
      <c r="D326" s="99"/>
      <c r="E326" s="100"/>
      <c r="R326" s="101"/>
      <c r="S326" s="101"/>
      <c r="AA326" s="101"/>
      <c r="AB326" s="101"/>
      <c r="AJ326" s="101"/>
      <c r="AK326" s="101"/>
      <c r="AP326" s="102"/>
      <c r="AQ326" s="102"/>
      <c r="AR326" s="102"/>
      <c r="AS326" s="101"/>
      <c r="AT326" s="101"/>
    </row>
    <row r="327" customFormat="false" ht="13.5" hidden="false" customHeight="true" outlineLevel="0" collapsed="false">
      <c r="A327" s="99"/>
      <c r="B327" s="99"/>
      <c r="C327" s="99"/>
      <c r="D327" s="99"/>
      <c r="E327" s="100"/>
      <c r="R327" s="101"/>
      <c r="S327" s="101"/>
      <c r="AA327" s="101"/>
      <c r="AB327" s="101"/>
      <c r="AJ327" s="101"/>
      <c r="AK327" s="101"/>
      <c r="AP327" s="102"/>
      <c r="AQ327" s="102"/>
      <c r="AR327" s="102"/>
      <c r="AS327" s="101"/>
      <c r="AT327" s="101"/>
    </row>
    <row r="328" customFormat="false" ht="13.5" hidden="false" customHeight="true" outlineLevel="0" collapsed="false">
      <c r="A328" s="99"/>
      <c r="B328" s="99"/>
      <c r="C328" s="99"/>
      <c r="D328" s="99"/>
      <c r="E328" s="100"/>
      <c r="R328" s="101"/>
      <c r="S328" s="101"/>
      <c r="AA328" s="101"/>
      <c r="AB328" s="101"/>
      <c r="AJ328" s="101"/>
      <c r="AK328" s="101"/>
      <c r="AP328" s="102"/>
      <c r="AQ328" s="102"/>
      <c r="AR328" s="102"/>
      <c r="AS328" s="101"/>
      <c r="AT328" s="101"/>
    </row>
    <row r="329" customFormat="false" ht="13.5" hidden="false" customHeight="true" outlineLevel="0" collapsed="false">
      <c r="A329" s="99"/>
      <c r="B329" s="99"/>
      <c r="C329" s="99"/>
      <c r="D329" s="99"/>
      <c r="E329" s="100"/>
      <c r="R329" s="101"/>
      <c r="S329" s="101"/>
      <c r="AA329" s="101"/>
      <c r="AB329" s="101"/>
      <c r="AJ329" s="101"/>
      <c r="AK329" s="101"/>
      <c r="AP329" s="102"/>
      <c r="AQ329" s="102"/>
      <c r="AR329" s="102"/>
      <c r="AS329" s="101"/>
      <c r="AT329" s="101"/>
    </row>
    <row r="330" customFormat="false" ht="13.5" hidden="false" customHeight="true" outlineLevel="0" collapsed="false">
      <c r="A330" s="99"/>
      <c r="B330" s="99"/>
      <c r="C330" s="99"/>
      <c r="D330" s="99"/>
      <c r="E330" s="100"/>
      <c r="R330" s="101"/>
      <c r="S330" s="101"/>
      <c r="AA330" s="101"/>
      <c r="AB330" s="101"/>
      <c r="AJ330" s="101"/>
      <c r="AK330" s="101"/>
      <c r="AP330" s="102"/>
      <c r="AQ330" s="102"/>
      <c r="AR330" s="102"/>
      <c r="AS330" s="101"/>
      <c r="AT330" s="101"/>
    </row>
    <row r="331" customFormat="false" ht="13.5" hidden="false" customHeight="true" outlineLevel="0" collapsed="false">
      <c r="A331" s="99"/>
      <c r="B331" s="99"/>
      <c r="C331" s="99"/>
      <c r="D331" s="99"/>
      <c r="E331" s="100"/>
      <c r="R331" s="101"/>
      <c r="S331" s="101"/>
      <c r="AA331" s="101"/>
      <c r="AB331" s="101"/>
      <c r="AJ331" s="101"/>
      <c r="AK331" s="101"/>
      <c r="AP331" s="102"/>
      <c r="AQ331" s="102"/>
      <c r="AR331" s="102"/>
      <c r="AS331" s="101"/>
      <c r="AT331" s="101"/>
    </row>
    <row r="332" customFormat="false" ht="13.5" hidden="false" customHeight="true" outlineLevel="0" collapsed="false">
      <c r="A332" s="99"/>
      <c r="B332" s="99"/>
      <c r="C332" s="99"/>
      <c r="D332" s="99"/>
      <c r="E332" s="100"/>
      <c r="R332" s="101"/>
      <c r="S332" s="101"/>
      <c r="AA332" s="101"/>
      <c r="AB332" s="101"/>
      <c r="AJ332" s="101"/>
      <c r="AK332" s="101"/>
      <c r="AP332" s="102"/>
      <c r="AQ332" s="102"/>
      <c r="AR332" s="102"/>
      <c r="AS332" s="101"/>
      <c r="AT332" s="101"/>
    </row>
    <row r="333" customFormat="false" ht="13.5" hidden="false" customHeight="true" outlineLevel="0" collapsed="false">
      <c r="A333" s="99"/>
      <c r="B333" s="99"/>
      <c r="C333" s="99"/>
      <c r="D333" s="99"/>
      <c r="E333" s="100"/>
      <c r="R333" s="101"/>
      <c r="S333" s="101"/>
      <c r="AA333" s="101"/>
      <c r="AB333" s="101"/>
      <c r="AJ333" s="101"/>
      <c r="AK333" s="101"/>
      <c r="AP333" s="102"/>
      <c r="AQ333" s="102"/>
      <c r="AR333" s="102"/>
      <c r="AS333" s="101"/>
      <c r="AT333" s="101"/>
    </row>
    <row r="334" customFormat="false" ht="13.5" hidden="false" customHeight="true" outlineLevel="0" collapsed="false">
      <c r="A334" s="99"/>
      <c r="B334" s="99"/>
      <c r="C334" s="99"/>
      <c r="D334" s="99"/>
      <c r="E334" s="100"/>
      <c r="R334" s="101"/>
      <c r="S334" s="101"/>
      <c r="AA334" s="101"/>
      <c r="AB334" s="101"/>
      <c r="AJ334" s="101"/>
      <c r="AK334" s="101"/>
      <c r="AP334" s="102"/>
      <c r="AQ334" s="102"/>
      <c r="AR334" s="102"/>
      <c r="AS334" s="101"/>
      <c r="AT334" s="101"/>
    </row>
    <row r="335" customFormat="false" ht="13.5" hidden="false" customHeight="true" outlineLevel="0" collapsed="false">
      <c r="A335" s="99"/>
      <c r="B335" s="99"/>
      <c r="C335" s="99"/>
      <c r="D335" s="99"/>
      <c r="E335" s="100"/>
      <c r="R335" s="101"/>
      <c r="S335" s="101"/>
      <c r="AA335" s="101"/>
      <c r="AB335" s="101"/>
      <c r="AJ335" s="101"/>
      <c r="AK335" s="101"/>
      <c r="AP335" s="102"/>
      <c r="AQ335" s="102"/>
      <c r="AR335" s="102"/>
      <c r="AS335" s="101"/>
      <c r="AT335" s="101"/>
    </row>
    <row r="336" customFormat="false" ht="13.5" hidden="false" customHeight="true" outlineLevel="0" collapsed="false">
      <c r="A336" s="99"/>
      <c r="B336" s="99"/>
      <c r="C336" s="99"/>
      <c r="D336" s="99"/>
      <c r="E336" s="100"/>
      <c r="R336" s="101"/>
      <c r="S336" s="101"/>
      <c r="AA336" s="101"/>
      <c r="AB336" s="101"/>
      <c r="AJ336" s="101"/>
      <c r="AK336" s="101"/>
      <c r="AP336" s="102"/>
      <c r="AQ336" s="102"/>
      <c r="AR336" s="102"/>
      <c r="AS336" s="101"/>
      <c r="AT336" s="101"/>
    </row>
    <row r="337" customFormat="false" ht="13.5" hidden="false" customHeight="true" outlineLevel="0" collapsed="false">
      <c r="A337" s="99"/>
      <c r="B337" s="99"/>
      <c r="C337" s="99"/>
      <c r="D337" s="99"/>
      <c r="E337" s="100"/>
      <c r="R337" s="101"/>
      <c r="S337" s="101"/>
      <c r="AA337" s="101"/>
      <c r="AB337" s="101"/>
      <c r="AJ337" s="101"/>
      <c r="AK337" s="101"/>
      <c r="AP337" s="102"/>
      <c r="AQ337" s="102"/>
      <c r="AR337" s="102"/>
      <c r="AS337" s="101"/>
      <c r="AT337" s="101"/>
    </row>
    <row r="338" customFormat="false" ht="13.5" hidden="false" customHeight="true" outlineLevel="0" collapsed="false">
      <c r="A338" s="99"/>
      <c r="B338" s="99"/>
      <c r="C338" s="99"/>
      <c r="D338" s="99"/>
      <c r="E338" s="100"/>
      <c r="R338" s="101"/>
      <c r="S338" s="101"/>
      <c r="AA338" s="101"/>
      <c r="AB338" s="101"/>
      <c r="AJ338" s="101"/>
      <c r="AK338" s="101"/>
      <c r="AP338" s="102"/>
      <c r="AQ338" s="102"/>
      <c r="AR338" s="102"/>
      <c r="AS338" s="101"/>
      <c r="AT338" s="101"/>
    </row>
    <row r="339" customFormat="false" ht="13.5" hidden="false" customHeight="true" outlineLevel="0" collapsed="false">
      <c r="A339" s="99"/>
      <c r="B339" s="99"/>
      <c r="C339" s="99"/>
      <c r="D339" s="99"/>
      <c r="E339" s="100"/>
      <c r="R339" s="101"/>
      <c r="S339" s="101"/>
      <c r="AA339" s="101"/>
      <c r="AB339" s="101"/>
      <c r="AJ339" s="101"/>
      <c r="AK339" s="101"/>
      <c r="AP339" s="102"/>
      <c r="AQ339" s="102"/>
      <c r="AR339" s="102"/>
      <c r="AS339" s="101"/>
      <c r="AT339" s="101"/>
    </row>
    <row r="340" customFormat="false" ht="13.5" hidden="false" customHeight="true" outlineLevel="0" collapsed="false">
      <c r="A340" s="99"/>
      <c r="B340" s="99"/>
      <c r="C340" s="99"/>
      <c r="D340" s="99"/>
      <c r="E340" s="100"/>
      <c r="R340" s="101"/>
      <c r="S340" s="101"/>
      <c r="AA340" s="101"/>
      <c r="AB340" s="101"/>
      <c r="AJ340" s="101"/>
      <c r="AK340" s="101"/>
      <c r="AP340" s="102"/>
      <c r="AQ340" s="102"/>
      <c r="AR340" s="102"/>
      <c r="AS340" s="101"/>
      <c r="AT340" s="101"/>
    </row>
    <row r="341" customFormat="false" ht="13.5" hidden="false" customHeight="true" outlineLevel="0" collapsed="false">
      <c r="A341" s="99"/>
      <c r="B341" s="99"/>
      <c r="C341" s="99"/>
      <c r="D341" s="99"/>
      <c r="E341" s="100"/>
      <c r="R341" s="101"/>
      <c r="S341" s="101"/>
      <c r="AA341" s="101"/>
      <c r="AB341" s="101"/>
      <c r="AJ341" s="101"/>
      <c r="AK341" s="101"/>
      <c r="AP341" s="102"/>
      <c r="AQ341" s="102"/>
      <c r="AR341" s="102"/>
      <c r="AS341" s="101"/>
      <c r="AT341" s="101"/>
    </row>
    <row r="342" customFormat="false" ht="13.5" hidden="false" customHeight="true" outlineLevel="0" collapsed="false">
      <c r="A342" s="99"/>
      <c r="B342" s="99"/>
      <c r="C342" s="99"/>
      <c r="D342" s="99"/>
      <c r="E342" s="100"/>
      <c r="R342" s="101"/>
      <c r="S342" s="101"/>
      <c r="AA342" s="101"/>
      <c r="AB342" s="101"/>
      <c r="AJ342" s="101"/>
      <c r="AK342" s="101"/>
      <c r="AP342" s="102"/>
      <c r="AQ342" s="102"/>
      <c r="AR342" s="102"/>
      <c r="AS342" s="101"/>
      <c r="AT342" s="101"/>
    </row>
    <row r="343" customFormat="false" ht="13.5" hidden="false" customHeight="true" outlineLevel="0" collapsed="false">
      <c r="A343" s="99"/>
      <c r="B343" s="99"/>
      <c r="C343" s="99"/>
      <c r="D343" s="99"/>
      <c r="E343" s="100"/>
      <c r="R343" s="101"/>
      <c r="S343" s="101"/>
      <c r="AA343" s="101"/>
      <c r="AB343" s="101"/>
      <c r="AJ343" s="101"/>
      <c r="AK343" s="101"/>
      <c r="AP343" s="102"/>
      <c r="AQ343" s="102"/>
      <c r="AR343" s="102"/>
      <c r="AS343" s="101"/>
      <c r="AT343" s="101"/>
    </row>
    <row r="344" customFormat="false" ht="13.5" hidden="false" customHeight="true" outlineLevel="0" collapsed="false">
      <c r="A344" s="99"/>
      <c r="B344" s="99"/>
      <c r="C344" s="99"/>
      <c r="D344" s="99"/>
      <c r="E344" s="100"/>
      <c r="R344" s="101"/>
      <c r="S344" s="101"/>
      <c r="AA344" s="101"/>
      <c r="AB344" s="101"/>
      <c r="AJ344" s="101"/>
      <c r="AK344" s="101"/>
      <c r="AP344" s="102"/>
      <c r="AQ344" s="102"/>
      <c r="AR344" s="102"/>
      <c r="AS344" s="101"/>
      <c r="AT344" s="101"/>
    </row>
    <row r="345" customFormat="false" ht="13.5" hidden="false" customHeight="true" outlineLevel="0" collapsed="false">
      <c r="A345" s="99"/>
      <c r="B345" s="99"/>
      <c r="C345" s="99"/>
      <c r="D345" s="99"/>
      <c r="E345" s="100"/>
      <c r="R345" s="101"/>
      <c r="S345" s="101"/>
      <c r="AA345" s="101"/>
      <c r="AB345" s="101"/>
      <c r="AJ345" s="101"/>
      <c r="AK345" s="101"/>
      <c r="AP345" s="102"/>
      <c r="AQ345" s="102"/>
      <c r="AR345" s="102"/>
      <c r="AS345" s="101"/>
      <c r="AT345" s="101"/>
    </row>
    <row r="346" customFormat="false" ht="13.5" hidden="false" customHeight="true" outlineLevel="0" collapsed="false">
      <c r="A346" s="99"/>
      <c r="B346" s="99"/>
      <c r="C346" s="99"/>
      <c r="D346" s="99"/>
      <c r="E346" s="100"/>
      <c r="R346" s="101"/>
      <c r="S346" s="101"/>
      <c r="AA346" s="101"/>
      <c r="AB346" s="101"/>
      <c r="AJ346" s="101"/>
      <c r="AK346" s="101"/>
      <c r="AP346" s="102"/>
      <c r="AQ346" s="102"/>
      <c r="AR346" s="102"/>
      <c r="AS346" s="101"/>
      <c r="AT346" s="101"/>
    </row>
    <row r="347" customFormat="false" ht="13.5" hidden="false" customHeight="true" outlineLevel="0" collapsed="false">
      <c r="A347" s="99"/>
      <c r="B347" s="99"/>
      <c r="C347" s="99"/>
      <c r="D347" s="99"/>
      <c r="E347" s="100"/>
      <c r="R347" s="101"/>
      <c r="S347" s="101"/>
      <c r="AA347" s="101"/>
      <c r="AB347" s="101"/>
      <c r="AJ347" s="101"/>
      <c r="AK347" s="101"/>
      <c r="AP347" s="102"/>
      <c r="AQ347" s="102"/>
      <c r="AR347" s="102"/>
      <c r="AS347" s="101"/>
      <c r="AT347" s="101"/>
    </row>
    <row r="348" customFormat="false" ht="13.5" hidden="false" customHeight="true" outlineLevel="0" collapsed="false">
      <c r="A348" s="99"/>
      <c r="B348" s="99"/>
      <c r="C348" s="99"/>
      <c r="D348" s="99"/>
      <c r="E348" s="100"/>
      <c r="R348" s="101"/>
      <c r="S348" s="101"/>
      <c r="AA348" s="101"/>
      <c r="AB348" s="101"/>
      <c r="AJ348" s="101"/>
      <c r="AK348" s="101"/>
      <c r="AP348" s="102"/>
      <c r="AQ348" s="102"/>
      <c r="AR348" s="102"/>
      <c r="AS348" s="101"/>
      <c r="AT348" s="101"/>
    </row>
    <row r="349" customFormat="false" ht="13.5" hidden="false" customHeight="true" outlineLevel="0" collapsed="false">
      <c r="A349" s="99"/>
      <c r="B349" s="99"/>
      <c r="C349" s="99"/>
      <c r="D349" s="99"/>
      <c r="E349" s="100"/>
      <c r="R349" s="101"/>
      <c r="S349" s="101"/>
      <c r="AA349" s="101"/>
      <c r="AB349" s="101"/>
      <c r="AJ349" s="101"/>
      <c r="AK349" s="101"/>
      <c r="AP349" s="102"/>
      <c r="AQ349" s="102"/>
      <c r="AR349" s="102"/>
      <c r="AS349" s="101"/>
      <c r="AT349" s="101"/>
    </row>
    <row r="350" customFormat="false" ht="13.5" hidden="false" customHeight="true" outlineLevel="0" collapsed="false">
      <c r="A350" s="99"/>
      <c r="B350" s="99"/>
      <c r="C350" s="99"/>
      <c r="D350" s="99"/>
      <c r="E350" s="100"/>
      <c r="R350" s="101"/>
      <c r="S350" s="101"/>
      <c r="AA350" s="101"/>
      <c r="AB350" s="101"/>
      <c r="AJ350" s="101"/>
      <c r="AK350" s="101"/>
      <c r="AP350" s="102"/>
      <c r="AQ350" s="102"/>
      <c r="AR350" s="102"/>
      <c r="AS350" s="101"/>
      <c r="AT350" s="101"/>
    </row>
    <row r="351" customFormat="false" ht="13.5" hidden="false" customHeight="true" outlineLevel="0" collapsed="false">
      <c r="A351" s="99"/>
      <c r="B351" s="99"/>
      <c r="C351" s="99"/>
      <c r="D351" s="99"/>
      <c r="E351" s="100"/>
      <c r="R351" s="101"/>
      <c r="S351" s="101"/>
      <c r="AA351" s="101"/>
      <c r="AB351" s="101"/>
      <c r="AJ351" s="101"/>
      <c r="AK351" s="101"/>
      <c r="AP351" s="102"/>
      <c r="AQ351" s="102"/>
      <c r="AR351" s="102"/>
      <c r="AS351" s="101"/>
      <c r="AT351" s="101"/>
    </row>
    <row r="352" customFormat="false" ht="13.5" hidden="false" customHeight="true" outlineLevel="0" collapsed="false">
      <c r="A352" s="99"/>
      <c r="B352" s="99"/>
      <c r="C352" s="99"/>
      <c r="D352" s="99"/>
      <c r="E352" s="100"/>
      <c r="R352" s="101"/>
      <c r="S352" s="101"/>
      <c r="AA352" s="101"/>
      <c r="AB352" s="101"/>
      <c r="AJ352" s="101"/>
      <c r="AK352" s="101"/>
      <c r="AP352" s="102"/>
      <c r="AQ352" s="102"/>
      <c r="AR352" s="102"/>
      <c r="AS352" s="101"/>
      <c r="AT352" s="101"/>
    </row>
    <row r="353" customFormat="false" ht="13.5" hidden="false" customHeight="true" outlineLevel="0" collapsed="false">
      <c r="A353" s="99"/>
      <c r="B353" s="99"/>
      <c r="C353" s="99"/>
      <c r="D353" s="99"/>
      <c r="E353" s="100"/>
      <c r="R353" s="101"/>
      <c r="S353" s="101"/>
      <c r="AA353" s="101"/>
      <c r="AB353" s="101"/>
      <c r="AJ353" s="101"/>
      <c r="AK353" s="101"/>
      <c r="AP353" s="102"/>
      <c r="AQ353" s="102"/>
      <c r="AR353" s="102"/>
      <c r="AS353" s="101"/>
      <c r="AT353" s="101"/>
    </row>
    <row r="354" customFormat="false" ht="13.5" hidden="false" customHeight="true" outlineLevel="0" collapsed="false">
      <c r="A354" s="99"/>
      <c r="B354" s="99"/>
      <c r="C354" s="99"/>
      <c r="D354" s="99"/>
      <c r="E354" s="100"/>
      <c r="R354" s="101"/>
      <c r="S354" s="101"/>
      <c r="AA354" s="101"/>
      <c r="AB354" s="101"/>
      <c r="AJ354" s="101"/>
      <c r="AK354" s="101"/>
      <c r="AP354" s="102"/>
      <c r="AQ354" s="102"/>
      <c r="AR354" s="102"/>
      <c r="AS354" s="101"/>
      <c r="AT354" s="101"/>
    </row>
    <row r="355" customFormat="false" ht="13.5" hidden="false" customHeight="true" outlineLevel="0" collapsed="false">
      <c r="A355" s="99"/>
      <c r="B355" s="99"/>
      <c r="C355" s="99"/>
      <c r="D355" s="99"/>
      <c r="E355" s="100"/>
      <c r="R355" s="101"/>
      <c r="S355" s="101"/>
      <c r="AA355" s="101"/>
      <c r="AB355" s="101"/>
      <c r="AJ355" s="101"/>
      <c r="AK355" s="101"/>
      <c r="AP355" s="102"/>
      <c r="AQ355" s="102"/>
      <c r="AR355" s="102"/>
      <c r="AS355" s="101"/>
      <c r="AT355" s="101"/>
    </row>
    <row r="356" customFormat="false" ht="13.5" hidden="false" customHeight="true" outlineLevel="0" collapsed="false">
      <c r="A356" s="99"/>
      <c r="B356" s="99"/>
      <c r="C356" s="99"/>
      <c r="D356" s="99"/>
      <c r="E356" s="100"/>
      <c r="R356" s="101"/>
      <c r="S356" s="101"/>
      <c r="AA356" s="101"/>
      <c r="AB356" s="101"/>
      <c r="AJ356" s="101"/>
      <c r="AK356" s="101"/>
      <c r="AP356" s="102"/>
      <c r="AQ356" s="102"/>
      <c r="AR356" s="102"/>
      <c r="AS356" s="101"/>
      <c r="AT356" s="101"/>
    </row>
    <row r="357" customFormat="false" ht="13.5" hidden="false" customHeight="true" outlineLevel="0" collapsed="false">
      <c r="A357" s="99"/>
      <c r="B357" s="99"/>
      <c r="C357" s="99"/>
      <c r="D357" s="99"/>
      <c r="E357" s="100"/>
      <c r="R357" s="101"/>
      <c r="S357" s="101"/>
      <c r="AA357" s="101"/>
      <c r="AB357" s="101"/>
      <c r="AJ357" s="101"/>
      <c r="AK357" s="101"/>
      <c r="AP357" s="102"/>
      <c r="AQ357" s="102"/>
      <c r="AR357" s="102"/>
      <c r="AS357" s="101"/>
      <c r="AT357" s="101"/>
    </row>
    <row r="358" customFormat="false" ht="13.5" hidden="false" customHeight="true" outlineLevel="0" collapsed="false">
      <c r="A358" s="99"/>
      <c r="B358" s="99"/>
      <c r="C358" s="99"/>
      <c r="D358" s="99"/>
      <c r="E358" s="100"/>
      <c r="R358" s="101"/>
      <c r="S358" s="101"/>
      <c r="AA358" s="101"/>
      <c r="AB358" s="101"/>
      <c r="AJ358" s="101"/>
      <c r="AK358" s="101"/>
      <c r="AP358" s="102"/>
      <c r="AQ358" s="102"/>
      <c r="AR358" s="102"/>
      <c r="AS358" s="101"/>
      <c r="AT358" s="101"/>
    </row>
    <row r="359" customFormat="false" ht="13.5" hidden="false" customHeight="true" outlineLevel="0" collapsed="false">
      <c r="A359" s="99"/>
      <c r="B359" s="99"/>
      <c r="C359" s="99"/>
      <c r="D359" s="99"/>
      <c r="E359" s="100"/>
      <c r="R359" s="101"/>
      <c r="S359" s="101"/>
      <c r="AA359" s="101"/>
      <c r="AB359" s="101"/>
      <c r="AJ359" s="101"/>
      <c r="AK359" s="101"/>
      <c r="AP359" s="102"/>
      <c r="AQ359" s="102"/>
      <c r="AR359" s="102"/>
      <c r="AS359" s="101"/>
      <c r="AT359" s="101"/>
    </row>
    <row r="360" customFormat="false" ht="13.5" hidden="false" customHeight="true" outlineLevel="0" collapsed="false">
      <c r="A360" s="99"/>
      <c r="B360" s="99"/>
      <c r="C360" s="99"/>
      <c r="D360" s="99"/>
      <c r="E360" s="100"/>
      <c r="R360" s="101"/>
      <c r="S360" s="101"/>
      <c r="AA360" s="101"/>
      <c r="AB360" s="101"/>
      <c r="AJ360" s="101"/>
      <c r="AK360" s="101"/>
      <c r="AP360" s="102"/>
      <c r="AQ360" s="102"/>
      <c r="AR360" s="102"/>
      <c r="AS360" s="101"/>
      <c r="AT360" s="101"/>
    </row>
    <row r="361" customFormat="false" ht="13.5" hidden="false" customHeight="true" outlineLevel="0" collapsed="false">
      <c r="A361" s="99"/>
      <c r="B361" s="99"/>
      <c r="C361" s="99"/>
      <c r="D361" s="99"/>
      <c r="E361" s="100"/>
      <c r="R361" s="101"/>
      <c r="S361" s="101"/>
      <c r="AA361" s="101"/>
      <c r="AB361" s="101"/>
      <c r="AJ361" s="101"/>
      <c r="AK361" s="101"/>
      <c r="AP361" s="102"/>
      <c r="AQ361" s="102"/>
      <c r="AR361" s="102"/>
      <c r="AS361" s="101"/>
      <c r="AT361" s="101"/>
    </row>
    <row r="362" customFormat="false" ht="13.5" hidden="false" customHeight="true" outlineLevel="0" collapsed="false">
      <c r="A362" s="99"/>
      <c r="B362" s="99"/>
      <c r="C362" s="99"/>
      <c r="D362" s="99"/>
      <c r="E362" s="100"/>
      <c r="R362" s="101"/>
      <c r="S362" s="101"/>
      <c r="AA362" s="101"/>
      <c r="AB362" s="101"/>
      <c r="AJ362" s="101"/>
      <c r="AK362" s="101"/>
      <c r="AP362" s="102"/>
      <c r="AQ362" s="102"/>
      <c r="AR362" s="102"/>
      <c r="AS362" s="101"/>
      <c r="AT362" s="101"/>
    </row>
    <row r="363" customFormat="false" ht="13.5" hidden="false" customHeight="true" outlineLevel="0" collapsed="false">
      <c r="A363" s="99"/>
      <c r="B363" s="99"/>
      <c r="C363" s="99"/>
      <c r="D363" s="99"/>
      <c r="E363" s="100"/>
      <c r="R363" s="101"/>
      <c r="S363" s="101"/>
      <c r="AA363" s="101"/>
      <c r="AB363" s="101"/>
      <c r="AJ363" s="101"/>
      <c r="AK363" s="101"/>
      <c r="AP363" s="102"/>
      <c r="AQ363" s="102"/>
      <c r="AR363" s="102"/>
      <c r="AS363" s="101"/>
      <c r="AT363" s="101"/>
    </row>
    <row r="364" customFormat="false" ht="13.5" hidden="false" customHeight="true" outlineLevel="0" collapsed="false">
      <c r="A364" s="99"/>
      <c r="B364" s="99"/>
      <c r="C364" s="99"/>
      <c r="D364" s="99"/>
      <c r="E364" s="100"/>
      <c r="R364" s="101"/>
      <c r="S364" s="101"/>
      <c r="AA364" s="101"/>
      <c r="AB364" s="101"/>
      <c r="AJ364" s="101"/>
      <c r="AK364" s="101"/>
      <c r="AP364" s="102"/>
      <c r="AQ364" s="102"/>
      <c r="AR364" s="102"/>
      <c r="AS364" s="101"/>
      <c r="AT364" s="101"/>
    </row>
    <row r="365" customFormat="false" ht="13.5" hidden="false" customHeight="true" outlineLevel="0" collapsed="false">
      <c r="A365" s="99"/>
      <c r="B365" s="99"/>
      <c r="C365" s="99"/>
      <c r="D365" s="99"/>
      <c r="E365" s="100"/>
      <c r="R365" s="101"/>
      <c r="S365" s="101"/>
      <c r="AA365" s="101"/>
      <c r="AB365" s="101"/>
      <c r="AJ365" s="101"/>
      <c r="AK365" s="101"/>
      <c r="AP365" s="102"/>
      <c r="AQ365" s="102"/>
      <c r="AR365" s="102"/>
      <c r="AS365" s="101"/>
      <c r="AT365" s="101"/>
    </row>
    <row r="366" customFormat="false" ht="13.5" hidden="false" customHeight="true" outlineLevel="0" collapsed="false">
      <c r="A366" s="99"/>
      <c r="B366" s="99"/>
      <c r="C366" s="99"/>
      <c r="D366" s="99"/>
      <c r="E366" s="100"/>
      <c r="R366" s="101"/>
      <c r="S366" s="101"/>
      <c r="AA366" s="101"/>
      <c r="AB366" s="101"/>
      <c r="AJ366" s="101"/>
      <c r="AK366" s="101"/>
      <c r="AP366" s="102"/>
      <c r="AQ366" s="102"/>
      <c r="AR366" s="102"/>
      <c r="AS366" s="101"/>
      <c r="AT366" s="101"/>
    </row>
    <row r="367" customFormat="false" ht="13.5" hidden="false" customHeight="true" outlineLevel="0" collapsed="false">
      <c r="A367" s="99"/>
      <c r="B367" s="99"/>
      <c r="C367" s="99"/>
      <c r="D367" s="99"/>
      <c r="E367" s="100"/>
      <c r="R367" s="101"/>
      <c r="S367" s="101"/>
      <c r="AA367" s="101"/>
      <c r="AB367" s="101"/>
      <c r="AJ367" s="101"/>
      <c r="AK367" s="101"/>
      <c r="AP367" s="102"/>
      <c r="AQ367" s="102"/>
      <c r="AR367" s="102"/>
      <c r="AS367" s="101"/>
      <c r="AT367" s="101"/>
    </row>
    <row r="368" customFormat="false" ht="13.5" hidden="false" customHeight="true" outlineLevel="0" collapsed="false">
      <c r="A368" s="99"/>
      <c r="B368" s="99"/>
      <c r="C368" s="99"/>
      <c r="D368" s="99"/>
      <c r="E368" s="100"/>
      <c r="R368" s="101"/>
      <c r="S368" s="101"/>
      <c r="AA368" s="101"/>
      <c r="AB368" s="101"/>
      <c r="AJ368" s="101"/>
      <c r="AK368" s="101"/>
      <c r="AP368" s="102"/>
      <c r="AQ368" s="102"/>
      <c r="AR368" s="102"/>
      <c r="AS368" s="101"/>
      <c r="AT368" s="101"/>
    </row>
    <row r="369" customFormat="false" ht="13.5" hidden="false" customHeight="true" outlineLevel="0" collapsed="false">
      <c r="A369" s="99"/>
      <c r="B369" s="99"/>
      <c r="C369" s="99"/>
      <c r="D369" s="99"/>
      <c r="E369" s="100"/>
      <c r="R369" s="101"/>
      <c r="S369" s="101"/>
      <c r="AA369" s="101"/>
      <c r="AB369" s="101"/>
      <c r="AJ369" s="101"/>
      <c r="AK369" s="101"/>
      <c r="AP369" s="102"/>
      <c r="AQ369" s="102"/>
      <c r="AR369" s="102"/>
      <c r="AS369" s="101"/>
      <c r="AT369" s="101"/>
    </row>
    <row r="370" customFormat="false" ht="13.5" hidden="false" customHeight="true" outlineLevel="0" collapsed="false">
      <c r="A370" s="99"/>
      <c r="B370" s="99"/>
      <c r="C370" s="99"/>
      <c r="D370" s="99"/>
      <c r="E370" s="100"/>
      <c r="R370" s="101"/>
      <c r="S370" s="101"/>
      <c r="AA370" s="101"/>
      <c r="AB370" s="101"/>
      <c r="AJ370" s="101"/>
      <c r="AK370" s="101"/>
      <c r="AP370" s="102"/>
      <c r="AQ370" s="102"/>
      <c r="AR370" s="102"/>
      <c r="AS370" s="101"/>
      <c r="AT370" s="101"/>
    </row>
    <row r="371" customFormat="false" ht="13.5" hidden="false" customHeight="true" outlineLevel="0" collapsed="false">
      <c r="A371" s="99"/>
      <c r="B371" s="99"/>
      <c r="C371" s="99"/>
      <c r="D371" s="99"/>
      <c r="E371" s="100"/>
      <c r="R371" s="101"/>
      <c r="S371" s="101"/>
      <c r="AA371" s="101"/>
      <c r="AB371" s="101"/>
      <c r="AJ371" s="101"/>
      <c r="AK371" s="101"/>
      <c r="AP371" s="102"/>
      <c r="AQ371" s="102"/>
      <c r="AR371" s="102"/>
      <c r="AS371" s="101"/>
      <c r="AT371" s="101"/>
    </row>
    <row r="372" customFormat="false" ht="13.5" hidden="false" customHeight="true" outlineLevel="0" collapsed="false">
      <c r="A372" s="99"/>
      <c r="B372" s="99"/>
      <c r="C372" s="99"/>
      <c r="D372" s="99"/>
      <c r="E372" s="100"/>
      <c r="R372" s="101"/>
      <c r="S372" s="101"/>
      <c r="AA372" s="101"/>
      <c r="AB372" s="101"/>
      <c r="AJ372" s="101"/>
      <c r="AK372" s="101"/>
      <c r="AP372" s="102"/>
      <c r="AQ372" s="102"/>
      <c r="AR372" s="102"/>
      <c r="AS372" s="101"/>
      <c r="AT372" s="101"/>
    </row>
    <row r="373" customFormat="false" ht="13.5" hidden="false" customHeight="true" outlineLevel="0" collapsed="false">
      <c r="A373" s="99"/>
      <c r="B373" s="99"/>
      <c r="C373" s="99"/>
      <c r="D373" s="99"/>
      <c r="E373" s="100"/>
      <c r="R373" s="101"/>
      <c r="S373" s="101"/>
      <c r="AA373" s="101"/>
      <c r="AB373" s="101"/>
      <c r="AJ373" s="101"/>
      <c r="AK373" s="101"/>
      <c r="AP373" s="102"/>
      <c r="AQ373" s="102"/>
      <c r="AR373" s="102"/>
      <c r="AS373" s="101"/>
      <c r="AT373" s="101"/>
    </row>
    <row r="374" customFormat="false" ht="13.5" hidden="false" customHeight="true" outlineLevel="0" collapsed="false">
      <c r="A374" s="99"/>
      <c r="B374" s="99"/>
      <c r="C374" s="99"/>
      <c r="D374" s="99"/>
      <c r="E374" s="100"/>
      <c r="R374" s="101"/>
      <c r="S374" s="101"/>
      <c r="AA374" s="101"/>
      <c r="AB374" s="101"/>
      <c r="AJ374" s="101"/>
      <c r="AK374" s="101"/>
      <c r="AP374" s="102"/>
      <c r="AQ374" s="102"/>
      <c r="AR374" s="102"/>
      <c r="AS374" s="101"/>
      <c r="AT374" s="101"/>
    </row>
    <row r="375" customFormat="false" ht="13.5" hidden="false" customHeight="true" outlineLevel="0" collapsed="false">
      <c r="A375" s="99"/>
      <c r="B375" s="99"/>
      <c r="C375" s="99"/>
      <c r="D375" s="99"/>
      <c r="E375" s="100"/>
      <c r="R375" s="101"/>
      <c r="S375" s="101"/>
      <c r="AA375" s="101"/>
      <c r="AB375" s="101"/>
      <c r="AJ375" s="101"/>
      <c r="AK375" s="101"/>
      <c r="AP375" s="102"/>
      <c r="AQ375" s="102"/>
      <c r="AR375" s="102"/>
      <c r="AS375" s="101"/>
      <c r="AT375" s="101"/>
    </row>
    <row r="376" customFormat="false" ht="13.5" hidden="false" customHeight="true" outlineLevel="0" collapsed="false">
      <c r="A376" s="99"/>
      <c r="B376" s="99"/>
      <c r="C376" s="99"/>
      <c r="D376" s="99"/>
      <c r="E376" s="100"/>
      <c r="R376" s="101"/>
      <c r="S376" s="101"/>
      <c r="AA376" s="101"/>
      <c r="AB376" s="101"/>
      <c r="AJ376" s="101"/>
      <c r="AK376" s="101"/>
      <c r="AP376" s="102"/>
      <c r="AQ376" s="102"/>
      <c r="AR376" s="102"/>
      <c r="AS376" s="101"/>
      <c r="AT376" s="101"/>
    </row>
    <row r="377" customFormat="false" ht="13.5" hidden="false" customHeight="true" outlineLevel="0" collapsed="false">
      <c r="A377" s="99"/>
      <c r="B377" s="99"/>
      <c r="C377" s="99"/>
      <c r="D377" s="99"/>
      <c r="E377" s="100"/>
      <c r="R377" s="101"/>
      <c r="S377" s="101"/>
      <c r="AA377" s="101"/>
      <c r="AB377" s="101"/>
      <c r="AJ377" s="101"/>
      <c r="AK377" s="101"/>
      <c r="AP377" s="102"/>
      <c r="AQ377" s="102"/>
      <c r="AR377" s="102"/>
      <c r="AS377" s="101"/>
      <c r="AT377" s="101"/>
    </row>
    <row r="378" customFormat="false" ht="13.5" hidden="false" customHeight="true" outlineLevel="0" collapsed="false">
      <c r="A378" s="99"/>
      <c r="B378" s="99"/>
      <c r="C378" s="99"/>
      <c r="D378" s="99"/>
      <c r="E378" s="100"/>
      <c r="R378" s="101"/>
      <c r="S378" s="101"/>
      <c r="AA378" s="101"/>
      <c r="AB378" s="101"/>
      <c r="AJ378" s="101"/>
      <c r="AK378" s="101"/>
      <c r="AP378" s="102"/>
      <c r="AQ378" s="102"/>
      <c r="AR378" s="102"/>
      <c r="AS378" s="101"/>
      <c r="AT378" s="101"/>
    </row>
    <row r="379" customFormat="false" ht="13.5" hidden="false" customHeight="true" outlineLevel="0" collapsed="false">
      <c r="A379" s="99"/>
      <c r="B379" s="99"/>
      <c r="C379" s="99"/>
      <c r="D379" s="99"/>
      <c r="E379" s="100"/>
      <c r="R379" s="101"/>
      <c r="S379" s="101"/>
      <c r="AA379" s="101"/>
      <c r="AB379" s="101"/>
      <c r="AJ379" s="101"/>
      <c r="AK379" s="101"/>
      <c r="AP379" s="102"/>
      <c r="AQ379" s="102"/>
      <c r="AR379" s="102"/>
      <c r="AS379" s="101"/>
      <c r="AT379" s="101"/>
    </row>
    <row r="380" customFormat="false" ht="13.5" hidden="false" customHeight="true" outlineLevel="0" collapsed="false">
      <c r="A380" s="99"/>
      <c r="B380" s="99"/>
      <c r="C380" s="99"/>
      <c r="D380" s="99"/>
      <c r="E380" s="100"/>
      <c r="R380" s="101"/>
      <c r="S380" s="101"/>
      <c r="AA380" s="101"/>
      <c r="AB380" s="101"/>
      <c r="AJ380" s="101"/>
      <c r="AK380" s="101"/>
      <c r="AP380" s="102"/>
      <c r="AQ380" s="102"/>
      <c r="AR380" s="102"/>
      <c r="AS380" s="101"/>
      <c r="AT380" s="101"/>
    </row>
    <row r="381" customFormat="false" ht="13.5" hidden="false" customHeight="true" outlineLevel="0" collapsed="false">
      <c r="A381" s="99"/>
      <c r="B381" s="99"/>
      <c r="C381" s="99"/>
      <c r="D381" s="99"/>
      <c r="E381" s="100"/>
      <c r="R381" s="101"/>
      <c r="S381" s="101"/>
      <c r="AA381" s="101"/>
      <c r="AB381" s="101"/>
      <c r="AJ381" s="101"/>
      <c r="AK381" s="101"/>
      <c r="AP381" s="102"/>
      <c r="AQ381" s="102"/>
      <c r="AR381" s="102"/>
      <c r="AS381" s="101"/>
      <c r="AT381" s="101"/>
    </row>
    <row r="382" customFormat="false" ht="13.5" hidden="false" customHeight="true" outlineLevel="0" collapsed="false">
      <c r="A382" s="99"/>
      <c r="B382" s="99"/>
      <c r="C382" s="99"/>
      <c r="D382" s="99"/>
      <c r="E382" s="100"/>
      <c r="R382" s="101"/>
      <c r="S382" s="101"/>
      <c r="AA382" s="101"/>
      <c r="AB382" s="101"/>
      <c r="AJ382" s="101"/>
      <c r="AK382" s="101"/>
      <c r="AP382" s="102"/>
      <c r="AQ382" s="102"/>
      <c r="AR382" s="102"/>
      <c r="AS382" s="101"/>
      <c r="AT382" s="101"/>
    </row>
    <row r="383" customFormat="false" ht="13.5" hidden="false" customHeight="true" outlineLevel="0" collapsed="false">
      <c r="A383" s="99"/>
      <c r="B383" s="99"/>
      <c r="C383" s="99"/>
      <c r="D383" s="99"/>
      <c r="E383" s="100"/>
      <c r="R383" s="101"/>
      <c r="S383" s="101"/>
      <c r="AA383" s="101"/>
      <c r="AB383" s="101"/>
      <c r="AJ383" s="101"/>
      <c r="AK383" s="101"/>
      <c r="AP383" s="102"/>
      <c r="AQ383" s="102"/>
      <c r="AR383" s="102"/>
      <c r="AS383" s="101"/>
      <c r="AT383" s="101"/>
    </row>
    <row r="384" customFormat="false" ht="13.5" hidden="false" customHeight="true" outlineLevel="0" collapsed="false">
      <c r="A384" s="99"/>
      <c r="B384" s="99"/>
      <c r="C384" s="99"/>
      <c r="D384" s="99"/>
      <c r="E384" s="100"/>
      <c r="R384" s="101"/>
      <c r="S384" s="101"/>
      <c r="AA384" s="101"/>
      <c r="AB384" s="101"/>
      <c r="AJ384" s="101"/>
      <c r="AK384" s="101"/>
      <c r="AP384" s="102"/>
      <c r="AQ384" s="102"/>
      <c r="AR384" s="102"/>
      <c r="AS384" s="101"/>
      <c r="AT384" s="101"/>
    </row>
    <row r="385" customFormat="false" ht="13.5" hidden="false" customHeight="true" outlineLevel="0" collapsed="false">
      <c r="A385" s="99"/>
      <c r="B385" s="99"/>
      <c r="C385" s="99"/>
      <c r="D385" s="99"/>
      <c r="E385" s="100"/>
      <c r="R385" s="101"/>
      <c r="S385" s="101"/>
      <c r="AA385" s="101"/>
      <c r="AB385" s="101"/>
      <c r="AJ385" s="101"/>
      <c r="AK385" s="101"/>
      <c r="AP385" s="102"/>
      <c r="AQ385" s="102"/>
      <c r="AR385" s="102"/>
      <c r="AS385" s="101"/>
      <c r="AT385" s="101"/>
    </row>
    <row r="386" customFormat="false" ht="13.5" hidden="false" customHeight="true" outlineLevel="0" collapsed="false">
      <c r="A386" s="99"/>
      <c r="B386" s="99"/>
      <c r="C386" s="99"/>
      <c r="D386" s="99"/>
      <c r="E386" s="100"/>
      <c r="R386" s="101"/>
      <c r="S386" s="101"/>
      <c r="AA386" s="101"/>
      <c r="AB386" s="101"/>
      <c r="AJ386" s="101"/>
      <c r="AK386" s="101"/>
      <c r="AP386" s="102"/>
      <c r="AQ386" s="102"/>
      <c r="AR386" s="102"/>
      <c r="AS386" s="101"/>
      <c r="AT386" s="101"/>
    </row>
    <row r="387" customFormat="false" ht="13.5" hidden="false" customHeight="true" outlineLevel="0" collapsed="false">
      <c r="A387" s="99"/>
      <c r="B387" s="99"/>
      <c r="C387" s="99"/>
      <c r="D387" s="99"/>
      <c r="E387" s="100"/>
      <c r="R387" s="101"/>
      <c r="S387" s="101"/>
      <c r="AA387" s="101"/>
      <c r="AB387" s="101"/>
      <c r="AJ387" s="101"/>
      <c r="AK387" s="101"/>
      <c r="AP387" s="102"/>
      <c r="AQ387" s="102"/>
      <c r="AR387" s="102"/>
      <c r="AS387" s="101"/>
      <c r="AT387" s="101"/>
    </row>
    <row r="388" customFormat="false" ht="13.5" hidden="false" customHeight="true" outlineLevel="0" collapsed="false">
      <c r="A388" s="99"/>
      <c r="B388" s="99"/>
      <c r="C388" s="99"/>
      <c r="D388" s="99"/>
      <c r="E388" s="100"/>
      <c r="R388" s="101"/>
      <c r="S388" s="101"/>
      <c r="AA388" s="101"/>
      <c r="AB388" s="101"/>
      <c r="AJ388" s="101"/>
      <c r="AK388" s="101"/>
      <c r="AP388" s="102"/>
      <c r="AQ388" s="102"/>
      <c r="AR388" s="102"/>
      <c r="AS388" s="101"/>
      <c r="AT388" s="101"/>
    </row>
    <row r="389" customFormat="false" ht="13.5" hidden="false" customHeight="true" outlineLevel="0" collapsed="false">
      <c r="A389" s="99"/>
      <c r="B389" s="99"/>
      <c r="C389" s="99"/>
      <c r="D389" s="99"/>
      <c r="E389" s="100"/>
      <c r="R389" s="101"/>
      <c r="S389" s="101"/>
      <c r="AA389" s="101"/>
      <c r="AB389" s="101"/>
      <c r="AJ389" s="101"/>
      <c r="AK389" s="101"/>
      <c r="AP389" s="102"/>
      <c r="AQ389" s="102"/>
      <c r="AR389" s="102"/>
      <c r="AS389" s="101"/>
      <c r="AT389" s="101"/>
    </row>
    <row r="390" customFormat="false" ht="13.5" hidden="false" customHeight="true" outlineLevel="0" collapsed="false">
      <c r="A390" s="99"/>
      <c r="B390" s="99"/>
      <c r="C390" s="99"/>
      <c r="D390" s="99"/>
      <c r="E390" s="100"/>
      <c r="R390" s="101"/>
      <c r="S390" s="101"/>
      <c r="AA390" s="101"/>
      <c r="AB390" s="101"/>
      <c r="AJ390" s="101"/>
      <c r="AK390" s="101"/>
      <c r="AP390" s="102"/>
      <c r="AQ390" s="102"/>
      <c r="AR390" s="102"/>
      <c r="AS390" s="101"/>
      <c r="AT390" s="101"/>
    </row>
    <row r="391" customFormat="false" ht="13.5" hidden="false" customHeight="true" outlineLevel="0" collapsed="false">
      <c r="A391" s="99"/>
      <c r="B391" s="99"/>
      <c r="C391" s="99"/>
      <c r="D391" s="99"/>
      <c r="E391" s="100"/>
      <c r="R391" s="101"/>
      <c r="S391" s="101"/>
      <c r="AA391" s="101"/>
      <c r="AB391" s="101"/>
      <c r="AJ391" s="101"/>
      <c r="AK391" s="101"/>
      <c r="AP391" s="102"/>
      <c r="AQ391" s="102"/>
      <c r="AR391" s="102"/>
      <c r="AS391" s="101"/>
      <c r="AT391" s="101"/>
    </row>
    <row r="392" customFormat="false" ht="13.5" hidden="false" customHeight="true" outlineLevel="0" collapsed="false">
      <c r="A392" s="99"/>
      <c r="B392" s="99"/>
      <c r="C392" s="99"/>
      <c r="D392" s="99"/>
      <c r="E392" s="100"/>
      <c r="R392" s="101"/>
      <c r="S392" s="101"/>
      <c r="AA392" s="101"/>
      <c r="AB392" s="101"/>
      <c r="AJ392" s="101"/>
      <c r="AK392" s="101"/>
      <c r="AP392" s="102"/>
      <c r="AQ392" s="102"/>
      <c r="AR392" s="102"/>
      <c r="AS392" s="101"/>
      <c r="AT392" s="101"/>
    </row>
    <row r="393" customFormat="false" ht="13.5" hidden="false" customHeight="true" outlineLevel="0" collapsed="false">
      <c r="A393" s="99"/>
      <c r="B393" s="99"/>
      <c r="C393" s="99"/>
      <c r="D393" s="99"/>
      <c r="E393" s="100"/>
      <c r="R393" s="101"/>
      <c r="S393" s="101"/>
      <c r="AA393" s="101"/>
      <c r="AB393" s="101"/>
      <c r="AJ393" s="101"/>
      <c r="AK393" s="101"/>
      <c r="AP393" s="102"/>
      <c r="AQ393" s="102"/>
      <c r="AR393" s="102"/>
      <c r="AS393" s="101"/>
      <c r="AT393" s="101"/>
    </row>
    <row r="394" customFormat="false" ht="13.5" hidden="false" customHeight="true" outlineLevel="0" collapsed="false">
      <c r="A394" s="99"/>
      <c r="B394" s="99"/>
      <c r="C394" s="99"/>
      <c r="D394" s="99"/>
      <c r="E394" s="100"/>
      <c r="R394" s="101"/>
      <c r="S394" s="101"/>
      <c r="AA394" s="101"/>
      <c r="AB394" s="101"/>
      <c r="AJ394" s="101"/>
      <c r="AK394" s="101"/>
      <c r="AP394" s="102"/>
      <c r="AQ394" s="102"/>
      <c r="AR394" s="102"/>
      <c r="AS394" s="101"/>
      <c r="AT394" s="101"/>
    </row>
    <row r="395" customFormat="false" ht="13.5" hidden="false" customHeight="true" outlineLevel="0" collapsed="false">
      <c r="A395" s="99"/>
      <c r="B395" s="99"/>
      <c r="C395" s="99"/>
      <c r="D395" s="99"/>
      <c r="E395" s="100"/>
      <c r="R395" s="101"/>
      <c r="S395" s="101"/>
      <c r="AA395" s="101"/>
      <c r="AB395" s="101"/>
      <c r="AJ395" s="101"/>
      <c r="AK395" s="101"/>
      <c r="AP395" s="102"/>
      <c r="AQ395" s="102"/>
      <c r="AR395" s="102"/>
      <c r="AS395" s="101"/>
      <c r="AT395" s="101"/>
    </row>
    <row r="396" customFormat="false" ht="13.5" hidden="false" customHeight="true" outlineLevel="0" collapsed="false">
      <c r="A396" s="99"/>
      <c r="B396" s="99"/>
      <c r="C396" s="99"/>
      <c r="D396" s="99"/>
      <c r="E396" s="100"/>
      <c r="R396" s="101"/>
      <c r="S396" s="101"/>
      <c r="AA396" s="101"/>
      <c r="AB396" s="101"/>
      <c r="AJ396" s="101"/>
      <c r="AK396" s="101"/>
      <c r="AP396" s="102"/>
      <c r="AQ396" s="102"/>
      <c r="AR396" s="102"/>
      <c r="AS396" s="101"/>
      <c r="AT396" s="101"/>
    </row>
    <row r="397" customFormat="false" ht="13.5" hidden="false" customHeight="true" outlineLevel="0" collapsed="false">
      <c r="A397" s="99"/>
      <c r="B397" s="99"/>
      <c r="C397" s="99"/>
      <c r="D397" s="99"/>
      <c r="E397" s="100"/>
      <c r="R397" s="101"/>
      <c r="S397" s="101"/>
      <c r="AA397" s="101"/>
      <c r="AB397" s="101"/>
      <c r="AJ397" s="101"/>
      <c r="AK397" s="101"/>
      <c r="AP397" s="102"/>
      <c r="AQ397" s="102"/>
      <c r="AR397" s="102"/>
      <c r="AS397" s="101"/>
      <c r="AT397" s="101"/>
    </row>
    <row r="398" customFormat="false" ht="13.5" hidden="false" customHeight="true" outlineLevel="0" collapsed="false">
      <c r="A398" s="99"/>
      <c r="B398" s="99"/>
      <c r="C398" s="99"/>
      <c r="D398" s="99"/>
      <c r="E398" s="100"/>
      <c r="R398" s="101"/>
      <c r="S398" s="101"/>
      <c r="AA398" s="101"/>
      <c r="AB398" s="101"/>
      <c r="AJ398" s="101"/>
      <c r="AK398" s="101"/>
      <c r="AP398" s="102"/>
      <c r="AQ398" s="102"/>
      <c r="AR398" s="102"/>
      <c r="AS398" s="101"/>
      <c r="AT398" s="101"/>
    </row>
    <row r="399" customFormat="false" ht="13.5" hidden="false" customHeight="true" outlineLevel="0" collapsed="false">
      <c r="A399" s="99"/>
      <c r="B399" s="99"/>
      <c r="C399" s="99"/>
      <c r="D399" s="99"/>
      <c r="E399" s="100"/>
      <c r="R399" s="101"/>
      <c r="S399" s="101"/>
      <c r="AA399" s="101"/>
      <c r="AB399" s="101"/>
      <c r="AJ399" s="101"/>
      <c r="AK399" s="101"/>
      <c r="AP399" s="102"/>
      <c r="AQ399" s="102"/>
      <c r="AR399" s="102"/>
      <c r="AS399" s="101"/>
      <c r="AT399" s="101"/>
    </row>
    <row r="400" customFormat="false" ht="13.5" hidden="false" customHeight="true" outlineLevel="0" collapsed="false">
      <c r="A400" s="99"/>
      <c r="B400" s="99"/>
      <c r="C400" s="99"/>
      <c r="D400" s="99"/>
      <c r="E400" s="100"/>
      <c r="R400" s="101"/>
      <c r="S400" s="101"/>
      <c r="AA400" s="101"/>
      <c r="AB400" s="101"/>
      <c r="AJ400" s="101"/>
      <c r="AK400" s="101"/>
      <c r="AP400" s="102"/>
      <c r="AQ400" s="102"/>
      <c r="AR400" s="102"/>
      <c r="AS400" s="101"/>
      <c r="AT400" s="101"/>
    </row>
    <row r="401" customFormat="false" ht="13.5" hidden="false" customHeight="true" outlineLevel="0" collapsed="false">
      <c r="A401" s="99"/>
      <c r="B401" s="99"/>
      <c r="C401" s="99"/>
      <c r="D401" s="99"/>
      <c r="E401" s="100"/>
      <c r="R401" s="101"/>
      <c r="S401" s="101"/>
      <c r="AA401" s="101"/>
      <c r="AB401" s="101"/>
      <c r="AJ401" s="101"/>
      <c r="AK401" s="101"/>
      <c r="AP401" s="102"/>
      <c r="AQ401" s="102"/>
      <c r="AR401" s="102"/>
      <c r="AS401" s="101"/>
      <c r="AT401" s="101"/>
    </row>
    <row r="402" customFormat="false" ht="13.5" hidden="false" customHeight="true" outlineLevel="0" collapsed="false">
      <c r="A402" s="99"/>
      <c r="B402" s="99"/>
      <c r="C402" s="99"/>
      <c r="D402" s="99"/>
      <c r="E402" s="100"/>
      <c r="R402" s="101"/>
      <c r="S402" s="101"/>
      <c r="AA402" s="101"/>
      <c r="AB402" s="101"/>
      <c r="AJ402" s="101"/>
      <c r="AK402" s="101"/>
      <c r="AP402" s="102"/>
      <c r="AQ402" s="102"/>
      <c r="AR402" s="102"/>
      <c r="AS402" s="101"/>
      <c r="AT402" s="101"/>
    </row>
    <row r="403" customFormat="false" ht="13.5" hidden="false" customHeight="true" outlineLevel="0" collapsed="false">
      <c r="A403" s="99"/>
      <c r="B403" s="99"/>
      <c r="C403" s="99"/>
      <c r="D403" s="99"/>
      <c r="E403" s="100"/>
      <c r="R403" s="101"/>
      <c r="S403" s="101"/>
      <c r="AA403" s="101"/>
      <c r="AB403" s="101"/>
      <c r="AJ403" s="101"/>
      <c r="AK403" s="101"/>
      <c r="AP403" s="102"/>
      <c r="AQ403" s="102"/>
      <c r="AR403" s="102"/>
      <c r="AS403" s="101"/>
      <c r="AT403" s="101"/>
    </row>
    <row r="404" customFormat="false" ht="13.5" hidden="false" customHeight="true" outlineLevel="0" collapsed="false">
      <c r="A404" s="99"/>
      <c r="B404" s="99"/>
      <c r="C404" s="99"/>
      <c r="D404" s="99"/>
      <c r="E404" s="100"/>
      <c r="R404" s="101"/>
      <c r="S404" s="101"/>
      <c r="AA404" s="101"/>
      <c r="AB404" s="101"/>
      <c r="AJ404" s="101"/>
      <c r="AK404" s="101"/>
      <c r="AP404" s="102"/>
      <c r="AQ404" s="102"/>
      <c r="AR404" s="102"/>
      <c r="AS404" s="101"/>
      <c r="AT404" s="101"/>
    </row>
    <row r="405" customFormat="false" ht="13.5" hidden="false" customHeight="true" outlineLevel="0" collapsed="false">
      <c r="A405" s="99"/>
      <c r="B405" s="99"/>
      <c r="C405" s="99"/>
      <c r="D405" s="99"/>
      <c r="E405" s="100"/>
      <c r="R405" s="101"/>
      <c r="S405" s="101"/>
      <c r="AA405" s="101"/>
      <c r="AB405" s="101"/>
      <c r="AJ405" s="101"/>
      <c r="AK405" s="101"/>
      <c r="AP405" s="102"/>
      <c r="AQ405" s="102"/>
      <c r="AR405" s="102"/>
      <c r="AS405" s="101"/>
      <c r="AT405" s="101"/>
    </row>
    <row r="406" customFormat="false" ht="13.5" hidden="false" customHeight="true" outlineLevel="0" collapsed="false">
      <c r="A406" s="99"/>
      <c r="B406" s="99"/>
      <c r="C406" s="99"/>
      <c r="D406" s="99"/>
      <c r="E406" s="100"/>
      <c r="R406" s="101"/>
      <c r="S406" s="101"/>
      <c r="AA406" s="101"/>
      <c r="AB406" s="101"/>
      <c r="AJ406" s="101"/>
      <c r="AK406" s="101"/>
      <c r="AP406" s="102"/>
      <c r="AQ406" s="102"/>
      <c r="AR406" s="102"/>
      <c r="AS406" s="101"/>
      <c r="AT406" s="101"/>
    </row>
    <row r="407" customFormat="false" ht="13.5" hidden="false" customHeight="true" outlineLevel="0" collapsed="false">
      <c r="A407" s="99"/>
      <c r="B407" s="99"/>
      <c r="C407" s="99"/>
      <c r="D407" s="99"/>
      <c r="E407" s="100"/>
      <c r="R407" s="101"/>
      <c r="S407" s="101"/>
      <c r="AA407" s="101"/>
      <c r="AB407" s="101"/>
      <c r="AJ407" s="101"/>
      <c r="AK407" s="101"/>
      <c r="AP407" s="102"/>
      <c r="AQ407" s="102"/>
      <c r="AR407" s="102"/>
      <c r="AS407" s="101"/>
      <c r="AT407" s="101"/>
    </row>
    <row r="408" customFormat="false" ht="13.5" hidden="false" customHeight="true" outlineLevel="0" collapsed="false">
      <c r="A408" s="99"/>
      <c r="B408" s="99"/>
      <c r="C408" s="99"/>
      <c r="D408" s="99"/>
      <c r="E408" s="100"/>
      <c r="R408" s="101"/>
      <c r="S408" s="101"/>
      <c r="AA408" s="101"/>
      <c r="AB408" s="101"/>
      <c r="AJ408" s="101"/>
      <c r="AK408" s="101"/>
      <c r="AP408" s="102"/>
      <c r="AQ408" s="102"/>
      <c r="AR408" s="102"/>
      <c r="AS408" s="101"/>
      <c r="AT408" s="101"/>
    </row>
    <row r="409" customFormat="false" ht="13.5" hidden="false" customHeight="true" outlineLevel="0" collapsed="false">
      <c r="A409" s="99"/>
      <c r="B409" s="99"/>
      <c r="C409" s="99"/>
      <c r="D409" s="99"/>
      <c r="E409" s="100"/>
      <c r="R409" s="101"/>
      <c r="S409" s="101"/>
      <c r="AA409" s="101"/>
      <c r="AB409" s="101"/>
      <c r="AJ409" s="101"/>
      <c r="AK409" s="101"/>
      <c r="AP409" s="102"/>
      <c r="AQ409" s="102"/>
      <c r="AR409" s="102"/>
      <c r="AS409" s="101"/>
      <c r="AT409" s="101"/>
    </row>
    <row r="410" customFormat="false" ht="13.5" hidden="false" customHeight="true" outlineLevel="0" collapsed="false">
      <c r="A410" s="99"/>
      <c r="B410" s="99"/>
      <c r="C410" s="99"/>
      <c r="D410" s="99"/>
      <c r="E410" s="100"/>
      <c r="R410" s="101"/>
      <c r="S410" s="101"/>
      <c r="AA410" s="101"/>
      <c r="AB410" s="101"/>
      <c r="AJ410" s="101"/>
      <c r="AK410" s="101"/>
      <c r="AP410" s="102"/>
      <c r="AQ410" s="102"/>
      <c r="AR410" s="102"/>
      <c r="AS410" s="101"/>
      <c r="AT410" s="101"/>
    </row>
    <row r="411" customFormat="false" ht="13.5" hidden="false" customHeight="true" outlineLevel="0" collapsed="false">
      <c r="A411" s="99"/>
      <c r="B411" s="99"/>
      <c r="C411" s="99"/>
      <c r="D411" s="99"/>
      <c r="E411" s="100"/>
      <c r="R411" s="101"/>
      <c r="S411" s="101"/>
      <c r="AA411" s="101"/>
      <c r="AB411" s="101"/>
      <c r="AJ411" s="101"/>
      <c r="AK411" s="101"/>
      <c r="AP411" s="102"/>
      <c r="AQ411" s="102"/>
      <c r="AR411" s="102"/>
      <c r="AS411" s="101"/>
      <c r="AT411" s="101"/>
    </row>
    <row r="412" customFormat="false" ht="13.5" hidden="false" customHeight="true" outlineLevel="0" collapsed="false">
      <c r="A412" s="99"/>
      <c r="B412" s="99"/>
      <c r="C412" s="99"/>
      <c r="D412" s="99"/>
      <c r="E412" s="100"/>
      <c r="R412" s="101"/>
      <c r="S412" s="101"/>
      <c r="AA412" s="101"/>
      <c r="AB412" s="101"/>
      <c r="AJ412" s="101"/>
      <c r="AK412" s="101"/>
      <c r="AP412" s="102"/>
      <c r="AQ412" s="102"/>
      <c r="AR412" s="102"/>
      <c r="AS412" s="101"/>
      <c r="AT412" s="101"/>
    </row>
    <row r="413" customFormat="false" ht="13.5" hidden="false" customHeight="true" outlineLevel="0" collapsed="false">
      <c r="A413" s="99"/>
      <c r="B413" s="99"/>
      <c r="C413" s="99"/>
      <c r="D413" s="99"/>
      <c r="E413" s="100"/>
      <c r="R413" s="101"/>
      <c r="S413" s="101"/>
      <c r="AA413" s="101"/>
      <c r="AB413" s="101"/>
      <c r="AJ413" s="101"/>
      <c r="AK413" s="101"/>
      <c r="AP413" s="102"/>
      <c r="AQ413" s="102"/>
      <c r="AR413" s="102"/>
      <c r="AS413" s="101"/>
      <c r="AT413" s="101"/>
    </row>
    <row r="414" customFormat="false" ht="13.5" hidden="false" customHeight="true" outlineLevel="0" collapsed="false">
      <c r="A414" s="99"/>
      <c r="B414" s="99"/>
      <c r="C414" s="99"/>
      <c r="D414" s="99"/>
      <c r="E414" s="100"/>
      <c r="R414" s="101"/>
      <c r="S414" s="101"/>
      <c r="AA414" s="101"/>
      <c r="AB414" s="101"/>
      <c r="AJ414" s="101"/>
      <c r="AK414" s="101"/>
      <c r="AP414" s="102"/>
      <c r="AQ414" s="102"/>
      <c r="AR414" s="102"/>
      <c r="AS414" s="101"/>
      <c r="AT414" s="101"/>
    </row>
    <row r="415" customFormat="false" ht="13.5" hidden="false" customHeight="true" outlineLevel="0" collapsed="false">
      <c r="A415" s="99"/>
      <c r="B415" s="99"/>
      <c r="C415" s="99"/>
      <c r="D415" s="99"/>
      <c r="E415" s="100"/>
      <c r="R415" s="101"/>
      <c r="S415" s="101"/>
      <c r="AA415" s="101"/>
      <c r="AB415" s="101"/>
      <c r="AJ415" s="101"/>
      <c r="AK415" s="101"/>
      <c r="AP415" s="102"/>
      <c r="AQ415" s="102"/>
      <c r="AR415" s="102"/>
      <c r="AS415" s="101"/>
      <c r="AT415" s="101"/>
    </row>
    <row r="416" customFormat="false" ht="13.5" hidden="false" customHeight="true" outlineLevel="0" collapsed="false">
      <c r="A416" s="99"/>
      <c r="B416" s="99"/>
      <c r="C416" s="99"/>
      <c r="D416" s="99"/>
      <c r="E416" s="100"/>
      <c r="R416" s="101"/>
      <c r="S416" s="101"/>
      <c r="AA416" s="101"/>
      <c r="AB416" s="101"/>
      <c r="AJ416" s="101"/>
      <c r="AK416" s="101"/>
      <c r="AP416" s="102"/>
      <c r="AQ416" s="102"/>
      <c r="AR416" s="102"/>
      <c r="AS416" s="101"/>
      <c r="AT416" s="101"/>
    </row>
    <row r="417" customFormat="false" ht="13.5" hidden="false" customHeight="true" outlineLevel="0" collapsed="false">
      <c r="A417" s="99"/>
      <c r="B417" s="99"/>
      <c r="C417" s="99"/>
      <c r="D417" s="99"/>
      <c r="E417" s="100"/>
      <c r="R417" s="101"/>
      <c r="S417" s="101"/>
      <c r="AA417" s="101"/>
      <c r="AB417" s="101"/>
      <c r="AJ417" s="101"/>
      <c r="AK417" s="101"/>
      <c r="AP417" s="102"/>
      <c r="AQ417" s="102"/>
      <c r="AR417" s="102"/>
      <c r="AS417" s="101"/>
      <c r="AT417" s="101"/>
    </row>
    <row r="418" customFormat="false" ht="13.5" hidden="false" customHeight="true" outlineLevel="0" collapsed="false">
      <c r="A418" s="99"/>
      <c r="B418" s="99"/>
      <c r="C418" s="99"/>
      <c r="D418" s="99"/>
      <c r="E418" s="100"/>
      <c r="R418" s="101"/>
      <c r="S418" s="101"/>
      <c r="AA418" s="101"/>
      <c r="AB418" s="101"/>
      <c r="AJ418" s="101"/>
      <c r="AK418" s="101"/>
      <c r="AP418" s="102"/>
      <c r="AQ418" s="102"/>
      <c r="AR418" s="102"/>
      <c r="AS418" s="101"/>
      <c r="AT418" s="101"/>
    </row>
    <row r="419" customFormat="false" ht="13.5" hidden="false" customHeight="true" outlineLevel="0" collapsed="false">
      <c r="A419" s="99"/>
      <c r="B419" s="99"/>
      <c r="C419" s="99"/>
      <c r="D419" s="99"/>
      <c r="E419" s="100"/>
      <c r="R419" s="101"/>
      <c r="S419" s="101"/>
      <c r="AA419" s="101"/>
      <c r="AB419" s="101"/>
      <c r="AJ419" s="101"/>
      <c r="AK419" s="101"/>
      <c r="AP419" s="102"/>
      <c r="AQ419" s="102"/>
      <c r="AR419" s="102"/>
      <c r="AS419" s="101"/>
      <c r="AT419" s="101"/>
    </row>
    <row r="420" customFormat="false" ht="13.5" hidden="false" customHeight="true" outlineLevel="0" collapsed="false">
      <c r="A420" s="99"/>
      <c r="B420" s="99"/>
      <c r="C420" s="99"/>
      <c r="D420" s="99"/>
      <c r="E420" s="100"/>
      <c r="R420" s="101"/>
      <c r="S420" s="101"/>
      <c r="AA420" s="101"/>
      <c r="AB420" s="101"/>
      <c r="AJ420" s="101"/>
      <c r="AK420" s="101"/>
      <c r="AP420" s="102"/>
      <c r="AQ420" s="102"/>
      <c r="AR420" s="102"/>
      <c r="AS420" s="101"/>
      <c r="AT420" s="101"/>
    </row>
    <row r="421" customFormat="false" ht="13.5" hidden="false" customHeight="true" outlineLevel="0" collapsed="false">
      <c r="A421" s="99"/>
      <c r="B421" s="99"/>
      <c r="C421" s="99"/>
      <c r="D421" s="99"/>
      <c r="E421" s="100"/>
      <c r="R421" s="101"/>
      <c r="S421" s="101"/>
      <c r="AA421" s="101"/>
      <c r="AB421" s="101"/>
      <c r="AJ421" s="101"/>
      <c r="AK421" s="101"/>
      <c r="AP421" s="102"/>
      <c r="AQ421" s="102"/>
      <c r="AR421" s="102"/>
      <c r="AS421" s="101"/>
      <c r="AT421" s="101"/>
    </row>
    <row r="422" customFormat="false" ht="13.5" hidden="false" customHeight="true" outlineLevel="0" collapsed="false">
      <c r="A422" s="99"/>
      <c r="B422" s="99"/>
      <c r="C422" s="99"/>
      <c r="D422" s="99"/>
      <c r="E422" s="100"/>
      <c r="R422" s="101"/>
      <c r="S422" s="101"/>
      <c r="AA422" s="101"/>
      <c r="AB422" s="101"/>
      <c r="AJ422" s="101"/>
      <c r="AK422" s="101"/>
      <c r="AP422" s="102"/>
      <c r="AQ422" s="102"/>
      <c r="AR422" s="102"/>
      <c r="AS422" s="101"/>
      <c r="AT422" s="101"/>
    </row>
    <row r="423" customFormat="false" ht="13.5" hidden="false" customHeight="true" outlineLevel="0" collapsed="false">
      <c r="A423" s="99"/>
      <c r="B423" s="99"/>
      <c r="C423" s="99"/>
      <c r="D423" s="99"/>
      <c r="E423" s="100"/>
      <c r="R423" s="101"/>
      <c r="S423" s="101"/>
      <c r="AA423" s="101"/>
      <c r="AB423" s="101"/>
      <c r="AJ423" s="101"/>
      <c r="AK423" s="101"/>
      <c r="AP423" s="102"/>
      <c r="AQ423" s="102"/>
      <c r="AR423" s="102"/>
      <c r="AS423" s="101"/>
      <c r="AT423" s="101"/>
    </row>
    <row r="424" customFormat="false" ht="13.5" hidden="false" customHeight="true" outlineLevel="0" collapsed="false">
      <c r="A424" s="99"/>
      <c r="B424" s="99"/>
      <c r="C424" s="99"/>
      <c r="D424" s="99"/>
      <c r="E424" s="100"/>
      <c r="R424" s="101"/>
      <c r="S424" s="101"/>
      <c r="AA424" s="101"/>
      <c r="AB424" s="101"/>
      <c r="AJ424" s="101"/>
      <c r="AK424" s="101"/>
      <c r="AP424" s="102"/>
      <c r="AQ424" s="102"/>
      <c r="AR424" s="102"/>
      <c r="AS424" s="101"/>
      <c r="AT424" s="101"/>
    </row>
    <row r="425" customFormat="false" ht="13.5" hidden="false" customHeight="true" outlineLevel="0" collapsed="false">
      <c r="A425" s="99"/>
      <c r="B425" s="99"/>
      <c r="C425" s="99"/>
      <c r="D425" s="99"/>
      <c r="E425" s="100"/>
      <c r="R425" s="101"/>
      <c r="S425" s="101"/>
      <c r="AA425" s="101"/>
      <c r="AB425" s="101"/>
      <c r="AJ425" s="101"/>
      <c r="AK425" s="101"/>
      <c r="AP425" s="102"/>
      <c r="AQ425" s="102"/>
      <c r="AR425" s="102"/>
      <c r="AS425" s="101"/>
      <c r="AT425" s="101"/>
    </row>
    <row r="426" customFormat="false" ht="13.5" hidden="false" customHeight="true" outlineLevel="0" collapsed="false">
      <c r="A426" s="99"/>
      <c r="B426" s="99"/>
      <c r="C426" s="99"/>
      <c r="D426" s="99"/>
      <c r="E426" s="100"/>
      <c r="R426" s="101"/>
      <c r="S426" s="101"/>
      <c r="AA426" s="101"/>
      <c r="AB426" s="101"/>
      <c r="AJ426" s="101"/>
      <c r="AK426" s="101"/>
      <c r="AP426" s="102"/>
      <c r="AQ426" s="102"/>
      <c r="AR426" s="102"/>
      <c r="AS426" s="101"/>
      <c r="AT426" s="101"/>
    </row>
    <row r="427" customFormat="false" ht="13.5" hidden="false" customHeight="true" outlineLevel="0" collapsed="false">
      <c r="A427" s="99"/>
      <c r="B427" s="99"/>
      <c r="C427" s="99"/>
      <c r="D427" s="99"/>
      <c r="E427" s="100"/>
      <c r="R427" s="101"/>
      <c r="S427" s="101"/>
      <c r="AA427" s="101"/>
      <c r="AB427" s="101"/>
      <c r="AJ427" s="101"/>
      <c r="AK427" s="101"/>
      <c r="AP427" s="102"/>
      <c r="AQ427" s="102"/>
      <c r="AR427" s="102"/>
      <c r="AS427" s="101"/>
      <c r="AT427" s="101"/>
    </row>
    <row r="428" customFormat="false" ht="13.5" hidden="false" customHeight="true" outlineLevel="0" collapsed="false">
      <c r="A428" s="99"/>
      <c r="B428" s="99"/>
      <c r="C428" s="99"/>
      <c r="D428" s="99"/>
      <c r="E428" s="100"/>
      <c r="R428" s="101"/>
      <c r="S428" s="101"/>
      <c r="AA428" s="101"/>
      <c r="AB428" s="101"/>
      <c r="AJ428" s="101"/>
      <c r="AK428" s="101"/>
      <c r="AP428" s="102"/>
      <c r="AQ428" s="102"/>
      <c r="AR428" s="102"/>
      <c r="AS428" s="101"/>
      <c r="AT428" s="101"/>
    </row>
    <row r="429" customFormat="false" ht="13.5" hidden="false" customHeight="true" outlineLevel="0" collapsed="false">
      <c r="A429" s="99"/>
      <c r="B429" s="99"/>
      <c r="C429" s="99"/>
      <c r="D429" s="99"/>
      <c r="E429" s="100"/>
      <c r="R429" s="101"/>
      <c r="S429" s="101"/>
      <c r="AA429" s="101"/>
      <c r="AB429" s="101"/>
      <c r="AJ429" s="101"/>
      <c r="AK429" s="101"/>
      <c r="AP429" s="102"/>
      <c r="AQ429" s="102"/>
      <c r="AR429" s="102"/>
      <c r="AS429" s="101"/>
      <c r="AT429" s="101"/>
    </row>
    <row r="430" customFormat="false" ht="13.5" hidden="false" customHeight="true" outlineLevel="0" collapsed="false">
      <c r="A430" s="99"/>
      <c r="B430" s="99"/>
      <c r="C430" s="99"/>
      <c r="D430" s="99"/>
      <c r="E430" s="100"/>
      <c r="R430" s="101"/>
      <c r="S430" s="101"/>
      <c r="AA430" s="101"/>
      <c r="AB430" s="101"/>
      <c r="AJ430" s="101"/>
      <c r="AK430" s="101"/>
      <c r="AP430" s="102"/>
      <c r="AQ430" s="102"/>
      <c r="AR430" s="102"/>
      <c r="AS430" s="101"/>
      <c r="AT430" s="101"/>
    </row>
    <row r="431" customFormat="false" ht="13.5" hidden="false" customHeight="true" outlineLevel="0" collapsed="false">
      <c r="A431" s="99"/>
      <c r="B431" s="99"/>
      <c r="C431" s="99"/>
      <c r="D431" s="99"/>
      <c r="E431" s="100"/>
      <c r="R431" s="101"/>
      <c r="S431" s="101"/>
      <c r="AA431" s="101"/>
      <c r="AB431" s="101"/>
      <c r="AJ431" s="101"/>
      <c r="AK431" s="101"/>
      <c r="AP431" s="102"/>
      <c r="AQ431" s="102"/>
      <c r="AR431" s="102"/>
      <c r="AS431" s="101"/>
      <c r="AT431" s="101"/>
    </row>
    <row r="432" customFormat="false" ht="13.5" hidden="false" customHeight="true" outlineLevel="0" collapsed="false">
      <c r="A432" s="99"/>
      <c r="B432" s="99"/>
      <c r="C432" s="99"/>
      <c r="D432" s="99"/>
      <c r="E432" s="100"/>
      <c r="R432" s="101"/>
      <c r="S432" s="101"/>
      <c r="AA432" s="101"/>
      <c r="AB432" s="101"/>
      <c r="AJ432" s="101"/>
      <c r="AK432" s="101"/>
      <c r="AP432" s="102"/>
      <c r="AQ432" s="102"/>
      <c r="AR432" s="102"/>
      <c r="AS432" s="101"/>
      <c r="AT432" s="101"/>
    </row>
    <row r="433" customFormat="false" ht="13.5" hidden="false" customHeight="true" outlineLevel="0" collapsed="false">
      <c r="A433" s="99"/>
      <c r="B433" s="99"/>
      <c r="C433" s="99"/>
      <c r="D433" s="99"/>
      <c r="E433" s="100"/>
      <c r="R433" s="101"/>
      <c r="S433" s="101"/>
      <c r="AA433" s="101"/>
      <c r="AB433" s="101"/>
      <c r="AJ433" s="101"/>
      <c r="AK433" s="101"/>
      <c r="AP433" s="102"/>
      <c r="AQ433" s="102"/>
      <c r="AR433" s="102"/>
      <c r="AS433" s="101"/>
      <c r="AT433" s="101"/>
    </row>
    <row r="434" customFormat="false" ht="13.5" hidden="false" customHeight="true" outlineLevel="0" collapsed="false">
      <c r="A434" s="99"/>
      <c r="B434" s="99"/>
      <c r="C434" s="99"/>
      <c r="D434" s="99"/>
      <c r="E434" s="100"/>
      <c r="R434" s="101"/>
      <c r="S434" s="101"/>
      <c r="AA434" s="101"/>
      <c r="AB434" s="101"/>
      <c r="AJ434" s="101"/>
      <c r="AK434" s="101"/>
      <c r="AP434" s="102"/>
      <c r="AQ434" s="102"/>
      <c r="AR434" s="102"/>
      <c r="AS434" s="101"/>
      <c r="AT434" s="101"/>
    </row>
    <row r="435" customFormat="false" ht="13.5" hidden="false" customHeight="true" outlineLevel="0" collapsed="false">
      <c r="A435" s="99"/>
      <c r="B435" s="99"/>
      <c r="C435" s="99"/>
      <c r="D435" s="99"/>
      <c r="E435" s="100"/>
      <c r="R435" s="101"/>
      <c r="S435" s="101"/>
      <c r="AA435" s="101"/>
      <c r="AB435" s="101"/>
      <c r="AJ435" s="101"/>
      <c r="AK435" s="101"/>
      <c r="AP435" s="102"/>
      <c r="AQ435" s="102"/>
      <c r="AR435" s="102"/>
      <c r="AS435" s="101"/>
      <c r="AT435" s="101"/>
    </row>
    <row r="436" customFormat="false" ht="13.5" hidden="false" customHeight="true" outlineLevel="0" collapsed="false">
      <c r="A436" s="99"/>
      <c r="B436" s="99"/>
      <c r="C436" s="99"/>
      <c r="D436" s="99"/>
      <c r="E436" s="100"/>
      <c r="R436" s="101"/>
      <c r="S436" s="101"/>
      <c r="AA436" s="101"/>
      <c r="AB436" s="101"/>
      <c r="AJ436" s="101"/>
      <c r="AK436" s="101"/>
      <c r="AP436" s="102"/>
      <c r="AQ436" s="102"/>
      <c r="AR436" s="102"/>
      <c r="AS436" s="101"/>
      <c r="AT436" s="101"/>
    </row>
    <row r="437" customFormat="false" ht="13.5" hidden="false" customHeight="true" outlineLevel="0" collapsed="false">
      <c r="A437" s="99"/>
      <c r="B437" s="99"/>
      <c r="C437" s="99"/>
      <c r="D437" s="99"/>
      <c r="E437" s="100"/>
      <c r="R437" s="101"/>
      <c r="S437" s="101"/>
      <c r="AA437" s="101"/>
      <c r="AB437" s="101"/>
      <c r="AJ437" s="101"/>
      <c r="AK437" s="101"/>
      <c r="AP437" s="102"/>
      <c r="AQ437" s="102"/>
      <c r="AR437" s="102"/>
      <c r="AS437" s="101"/>
      <c r="AT437" s="101"/>
    </row>
    <row r="438" customFormat="false" ht="13.5" hidden="false" customHeight="true" outlineLevel="0" collapsed="false">
      <c r="A438" s="99"/>
      <c r="B438" s="99"/>
      <c r="C438" s="99"/>
      <c r="D438" s="99"/>
      <c r="E438" s="100"/>
      <c r="R438" s="101"/>
      <c r="S438" s="101"/>
      <c r="AA438" s="101"/>
      <c r="AB438" s="101"/>
      <c r="AJ438" s="101"/>
      <c r="AK438" s="101"/>
      <c r="AP438" s="102"/>
      <c r="AQ438" s="102"/>
      <c r="AR438" s="102"/>
      <c r="AS438" s="101"/>
      <c r="AT438" s="101"/>
    </row>
    <row r="439" customFormat="false" ht="13.5" hidden="false" customHeight="true" outlineLevel="0" collapsed="false">
      <c r="A439" s="99"/>
      <c r="B439" s="99"/>
      <c r="C439" s="99"/>
      <c r="D439" s="99"/>
      <c r="E439" s="100"/>
      <c r="R439" s="101"/>
      <c r="S439" s="101"/>
      <c r="AA439" s="101"/>
      <c r="AB439" s="101"/>
      <c r="AJ439" s="101"/>
      <c r="AK439" s="101"/>
      <c r="AP439" s="102"/>
      <c r="AQ439" s="102"/>
      <c r="AR439" s="102"/>
      <c r="AS439" s="101"/>
      <c r="AT439" s="101"/>
    </row>
    <row r="440" customFormat="false" ht="13.5" hidden="false" customHeight="true" outlineLevel="0" collapsed="false">
      <c r="A440" s="99"/>
      <c r="B440" s="99"/>
      <c r="C440" s="99"/>
      <c r="D440" s="99"/>
      <c r="E440" s="100"/>
      <c r="R440" s="101"/>
      <c r="S440" s="101"/>
      <c r="AA440" s="101"/>
      <c r="AB440" s="101"/>
      <c r="AJ440" s="101"/>
      <c r="AK440" s="101"/>
      <c r="AP440" s="102"/>
      <c r="AQ440" s="102"/>
      <c r="AR440" s="102"/>
      <c r="AS440" s="101"/>
      <c r="AT440" s="101"/>
    </row>
    <row r="441" customFormat="false" ht="13.5" hidden="false" customHeight="true" outlineLevel="0" collapsed="false">
      <c r="A441" s="99"/>
      <c r="B441" s="99"/>
      <c r="C441" s="99"/>
      <c r="D441" s="99"/>
      <c r="E441" s="100"/>
      <c r="R441" s="101"/>
      <c r="S441" s="101"/>
      <c r="AA441" s="101"/>
      <c r="AB441" s="101"/>
      <c r="AJ441" s="101"/>
      <c r="AK441" s="101"/>
      <c r="AP441" s="102"/>
      <c r="AQ441" s="102"/>
      <c r="AR441" s="102"/>
      <c r="AS441" s="101"/>
      <c r="AT441" s="101"/>
    </row>
    <row r="442" customFormat="false" ht="13.5" hidden="false" customHeight="true" outlineLevel="0" collapsed="false">
      <c r="A442" s="99"/>
      <c r="B442" s="99"/>
      <c r="C442" s="99"/>
      <c r="D442" s="99"/>
      <c r="E442" s="100"/>
      <c r="R442" s="101"/>
      <c r="S442" s="101"/>
      <c r="AA442" s="101"/>
      <c r="AB442" s="101"/>
      <c r="AJ442" s="101"/>
      <c r="AK442" s="101"/>
      <c r="AP442" s="102"/>
      <c r="AQ442" s="102"/>
      <c r="AR442" s="102"/>
      <c r="AS442" s="101"/>
      <c r="AT442" s="101"/>
    </row>
    <row r="443" customFormat="false" ht="13.5" hidden="false" customHeight="true" outlineLevel="0" collapsed="false">
      <c r="A443" s="99"/>
      <c r="B443" s="99"/>
      <c r="C443" s="99"/>
      <c r="D443" s="99"/>
      <c r="E443" s="100"/>
      <c r="R443" s="101"/>
      <c r="S443" s="101"/>
      <c r="AA443" s="101"/>
      <c r="AB443" s="101"/>
      <c r="AJ443" s="101"/>
      <c r="AK443" s="101"/>
      <c r="AP443" s="102"/>
      <c r="AQ443" s="102"/>
      <c r="AR443" s="102"/>
      <c r="AS443" s="101"/>
      <c r="AT443" s="101"/>
    </row>
    <row r="444" customFormat="false" ht="13.5" hidden="false" customHeight="true" outlineLevel="0" collapsed="false">
      <c r="A444" s="99"/>
      <c r="B444" s="99"/>
      <c r="C444" s="99"/>
      <c r="D444" s="99"/>
      <c r="E444" s="100"/>
      <c r="R444" s="101"/>
      <c r="S444" s="101"/>
      <c r="AA444" s="101"/>
      <c r="AB444" s="101"/>
      <c r="AJ444" s="101"/>
      <c r="AK444" s="101"/>
      <c r="AP444" s="102"/>
      <c r="AQ444" s="102"/>
      <c r="AR444" s="102"/>
      <c r="AS444" s="101"/>
      <c r="AT444" s="101"/>
    </row>
    <row r="445" customFormat="false" ht="13.5" hidden="false" customHeight="true" outlineLevel="0" collapsed="false">
      <c r="A445" s="99"/>
      <c r="B445" s="99"/>
      <c r="C445" s="99"/>
      <c r="D445" s="99"/>
      <c r="E445" s="100"/>
      <c r="R445" s="101"/>
      <c r="S445" s="101"/>
      <c r="AA445" s="101"/>
      <c r="AB445" s="101"/>
      <c r="AJ445" s="101"/>
      <c r="AK445" s="101"/>
      <c r="AP445" s="102"/>
      <c r="AQ445" s="102"/>
      <c r="AR445" s="102"/>
      <c r="AS445" s="101"/>
      <c r="AT445" s="101"/>
    </row>
    <row r="446" customFormat="false" ht="13.5" hidden="false" customHeight="true" outlineLevel="0" collapsed="false">
      <c r="A446" s="99"/>
      <c r="B446" s="99"/>
      <c r="C446" s="99"/>
      <c r="D446" s="99"/>
      <c r="E446" s="100"/>
      <c r="R446" s="101"/>
      <c r="S446" s="101"/>
      <c r="AA446" s="101"/>
      <c r="AB446" s="101"/>
      <c r="AJ446" s="101"/>
      <c r="AK446" s="101"/>
      <c r="AP446" s="102"/>
      <c r="AQ446" s="102"/>
      <c r="AR446" s="102"/>
      <c r="AS446" s="101"/>
      <c r="AT446" s="101"/>
    </row>
    <row r="447" customFormat="false" ht="13.5" hidden="false" customHeight="true" outlineLevel="0" collapsed="false">
      <c r="A447" s="99"/>
      <c r="B447" s="99"/>
      <c r="C447" s="99"/>
      <c r="D447" s="99"/>
      <c r="E447" s="100"/>
      <c r="R447" s="101"/>
      <c r="S447" s="101"/>
      <c r="AA447" s="101"/>
      <c r="AB447" s="101"/>
      <c r="AJ447" s="101"/>
      <c r="AK447" s="101"/>
      <c r="AP447" s="102"/>
      <c r="AQ447" s="102"/>
      <c r="AR447" s="102"/>
      <c r="AS447" s="101"/>
      <c r="AT447" s="101"/>
    </row>
    <row r="448" customFormat="false" ht="13.5" hidden="false" customHeight="true" outlineLevel="0" collapsed="false">
      <c r="A448" s="99"/>
      <c r="B448" s="99"/>
      <c r="C448" s="99"/>
      <c r="D448" s="99"/>
      <c r="E448" s="100"/>
      <c r="R448" s="101"/>
      <c r="S448" s="101"/>
      <c r="AA448" s="101"/>
      <c r="AB448" s="101"/>
      <c r="AJ448" s="101"/>
      <c r="AK448" s="101"/>
      <c r="AP448" s="102"/>
      <c r="AQ448" s="102"/>
      <c r="AR448" s="102"/>
      <c r="AS448" s="101"/>
      <c r="AT448" s="101"/>
    </row>
    <row r="449" customFormat="false" ht="13.5" hidden="false" customHeight="true" outlineLevel="0" collapsed="false">
      <c r="A449" s="99"/>
      <c r="B449" s="99"/>
      <c r="C449" s="99"/>
      <c r="D449" s="99"/>
      <c r="E449" s="100"/>
      <c r="R449" s="101"/>
      <c r="S449" s="101"/>
      <c r="AA449" s="101"/>
      <c r="AB449" s="101"/>
      <c r="AJ449" s="101"/>
      <c r="AK449" s="101"/>
      <c r="AP449" s="102"/>
      <c r="AQ449" s="102"/>
      <c r="AR449" s="102"/>
      <c r="AS449" s="101"/>
      <c r="AT449" s="101"/>
    </row>
    <row r="450" customFormat="false" ht="13.5" hidden="false" customHeight="true" outlineLevel="0" collapsed="false">
      <c r="A450" s="99"/>
      <c r="B450" s="99"/>
      <c r="C450" s="99"/>
      <c r="D450" s="99"/>
      <c r="E450" s="100"/>
      <c r="R450" s="101"/>
      <c r="S450" s="101"/>
      <c r="AA450" s="101"/>
      <c r="AB450" s="101"/>
      <c r="AJ450" s="101"/>
      <c r="AK450" s="101"/>
      <c r="AP450" s="102"/>
      <c r="AQ450" s="102"/>
      <c r="AR450" s="102"/>
      <c r="AS450" s="101"/>
      <c r="AT450" s="101"/>
    </row>
    <row r="451" customFormat="false" ht="13.5" hidden="false" customHeight="true" outlineLevel="0" collapsed="false">
      <c r="A451" s="99"/>
      <c r="B451" s="99"/>
      <c r="C451" s="99"/>
      <c r="D451" s="99"/>
      <c r="E451" s="100"/>
      <c r="R451" s="101"/>
      <c r="S451" s="101"/>
      <c r="AA451" s="101"/>
      <c r="AB451" s="101"/>
      <c r="AJ451" s="101"/>
      <c r="AK451" s="101"/>
      <c r="AP451" s="102"/>
      <c r="AQ451" s="102"/>
      <c r="AR451" s="102"/>
      <c r="AS451" s="101"/>
      <c r="AT451" s="101"/>
    </row>
    <row r="452" customFormat="false" ht="13.5" hidden="false" customHeight="true" outlineLevel="0" collapsed="false">
      <c r="A452" s="99"/>
      <c r="B452" s="99"/>
      <c r="C452" s="99"/>
      <c r="D452" s="99"/>
      <c r="E452" s="100"/>
      <c r="R452" s="101"/>
      <c r="S452" s="101"/>
      <c r="AA452" s="101"/>
      <c r="AB452" s="101"/>
      <c r="AJ452" s="101"/>
      <c r="AK452" s="101"/>
      <c r="AP452" s="102"/>
      <c r="AQ452" s="102"/>
      <c r="AR452" s="102"/>
      <c r="AS452" s="101"/>
      <c r="AT452" s="101"/>
    </row>
    <row r="453" customFormat="false" ht="13.5" hidden="false" customHeight="true" outlineLevel="0" collapsed="false">
      <c r="A453" s="99"/>
      <c r="B453" s="99"/>
      <c r="C453" s="99"/>
      <c r="D453" s="99"/>
      <c r="E453" s="100"/>
      <c r="R453" s="101"/>
      <c r="S453" s="101"/>
      <c r="AA453" s="101"/>
      <c r="AB453" s="101"/>
      <c r="AJ453" s="101"/>
      <c r="AK453" s="101"/>
      <c r="AP453" s="102"/>
      <c r="AQ453" s="102"/>
      <c r="AR453" s="102"/>
      <c r="AS453" s="101"/>
      <c r="AT453" s="101"/>
    </row>
    <row r="454" customFormat="false" ht="13.5" hidden="false" customHeight="true" outlineLevel="0" collapsed="false">
      <c r="A454" s="99"/>
      <c r="B454" s="99"/>
      <c r="C454" s="99"/>
      <c r="D454" s="99"/>
      <c r="E454" s="100"/>
      <c r="R454" s="101"/>
      <c r="S454" s="101"/>
      <c r="AA454" s="101"/>
      <c r="AB454" s="101"/>
      <c r="AJ454" s="101"/>
      <c r="AK454" s="101"/>
      <c r="AP454" s="102"/>
      <c r="AQ454" s="102"/>
      <c r="AR454" s="102"/>
      <c r="AS454" s="101"/>
      <c r="AT454" s="101"/>
    </row>
    <row r="455" customFormat="false" ht="13.5" hidden="false" customHeight="true" outlineLevel="0" collapsed="false">
      <c r="A455" s="99"/>
      <c r="B455" s="99"/>
      <c r="C455" s="99"/>
      <c r="D455" s="99"/>
      <c r="E455" s="100"/>
      <c r="R455" s="101"/>
      <c r="S455" s="101"/>
      <c r="AA455" s="101"/>
      <c r="AB455" s="101"/>
      <c r="AJ455" s="101"/>
      <c r="AK455" s="101"/>
      <c r="AP455" s="102"/>
      <c r="AQ455" s="102"/>
      <c r="AR455" s="102"/>
      <c r="AS455" s="101"/>
      <c r="AT455" s="101"/>
    </row>
    <row r="456" customFormat="false" ht="13.5" hidden="false" customHeight="true" outlineLevel="0" collapsed="false">
      <c r="A456" s="99"/>
      <c r="B456" s="99"/>
      <c r="C456" s="99"/>
      <c r="D456" s="99"/>
      <c r="E456" s="100"/>
      <c r="R456" s="101"/>
      <c r="S456" s="101"/>
      <c r="AA456" s="101"/>
      <c r="AB456" s="101"/>
      <c r="AJ456" s="101"/>
      <c r="AK456" s="101"/>
      <c r="AP456" s="102"/>
      <c r="AQ456" s="102"/>
      <c r="AR456" s="102"/>
      <c r="AS456" s="101"/>
      <c r="AT456" s="101"/>
    </row>
    <row r="457" customFormat="false" ht="13.5" hidden="false" customHeight="true" outlineLevel="0" collapsed="false">
      <c r="A457" s="99"/>
      <c r="B457" s="99"/>
      <c r="C457" s="99"/>
      <c r="D457" s="99"/>
      <c r="E457" s="100"/>
      <c r="R457" s="101"/>
      <c r="S457" s="101"/>
      <c r="AA457" s="101"/>
      <c r="AB457" s="101"/>
      <c r="AJ457" s="101"/>
      <c r="AK457" s="101"/>
      <c r="AP457" s="102"/>
      <c r="AQ457" s="102"/>
      <c r="AR457" s="102"/>
      <c r="AS457" s="101"/>
      <c r="AT457" s="101"/>
    </row>
    <row r="458" customFormat="false" ht="13.5" hidden="false" customHeight="true" outlineLevel="0" collapsed="false">
      <c r="A458" s="99"/>
      <c r="B458" s="99"/>
      <c r="C458" s="99"/>
      <c r="D458" s="99"/>
      <c r="E458" s="100"/>
      <c r="R458" s="101"/>
      <c r="S458" s="101"/>
      <c r="AA458" s="101"/>
      <c r="AB458" s="101"/>
      <c r="AJ458" s="101"/>
      <c r="AK458" s="101"/>
      <c r="AP458" s="102"/>
      <c r="AQ458" s="102"/>
      <c r="AR458" s="102"/>
      <c r="AS458" s="101"/>
      <c r="AT458" s="101"/>
    </row>
    <row r="459" customFormat="false" ht="13.5" hidden="false" customHeight="true" outlineLevel="0" collapsed="false">
      <c r="A459" s="99"/>
      <c r="B459" s="99"/>
      <c r="C459" s="99"/>
      <c r="D459" s="99"/>
      <c r="E459" s="100"/>
      <c r="R459" s="101"/>
      <c r="S459" s="101"/>
      <c r="AA459" s="101"/>
      <c r="AB459" s="101"/>
      <c r="AJ459" s="101"/>
      <c r="AK459" s="101"/>
      <c r="AP459" s="102"/>
      <c r="AQ459" s="102"/>
      <c r="AR459" s="102"/>
      <c r="AS459" s="101"/>
      <c r="AT459" s="101"/>
    </row>
    <row r="460" customFormat="false" ht="13.5" hidden="false" customHeight="true" outlineLevel="0" collapsed="false">
      <c r="A460" s="99"/>
      <c r="B460" s="99"/>
      <c r="C460" s="99"/>
      <c r="D460" s="99"/>
      <c r="E460" s="100"/>
      <c r="R460" s="101"/>
      <c r="S460" s="101"/>
      <c r="AA460" s="101"/>
      <c r="AB460" s="101"/>
      <c r="AJ460" s="101"/>
      <c r="AK460" s="101"/>
      <c r="AP460" s="102"/>
      <c r="AQ460" s="102"/>
      <c r="AR460" s="102"/>
      <c r="AS460" s="101"/>
      <c r="AT460" s="101"/>
    </row>
    <row r="461" customFormat="false" ht="13.5" hidden="false" customHeight="true" outlineLevel="0" collapsed="false">
      <c r="A461" s="99"/>
      <c r="B461" s="99"/>
      <c r="C461" s="99"/>
      <c r="D461" s="99"/>
      <c r="E461" s="100"/>
      <c r="R461" s="101"/>
      <c r="S461" s="101"/>
      <c r="AA461" s="101"/>
      <c r="AB461" s="101"/>
      <c r="AJ461" s="101"/>
      <c r="AK461" s="101"/>
      <c r="AP461" s="102"/>
      <c r="AQ461" s="102"/>
      <c r="AR461" s="102"/>
      <c r="AS461" s="101"/>
      <c r="AT461" s="101"/>
    </row>
    <row r="462" customFormat="false" ht="13.5" hidden="false" customHeight="true" outlineLevel="0" collapsed="false">
      <c r="A462" s="99"/>
      <c r="B462" s="99"/>
      <c r="C462" s="99"/>
      <c r="D462" s="99"/>
      <c r="E462" s="100"/>
      <c r="R462" s="101"/>
      <c r="S462" s="101"/>
      <c r="AA462" s="101"/>
      <c r="AB462" s="101"/>
      <c r="AJ462" s="101"/>
      <c r="AK462" s="101"/>
      <c r="AP462" s="102"/>
      <c r="AQ462" s="102"/>
      <c r="AR462" s="102"/>
      <c r="AS462" s="101"/>
      <c r="AT462" s="101"/>
    </row>
    <row r="463" customFormat="false" ht="13.5" hidden="false" customHeight="true" outlineLevel="0" collapsed="false">
      <c r="A463" s="99"/>
      <c r="B463" s="99"/>
      <c r="C463" s="99"/>
      <c r="D463" s="99"/>
      <c r="E463" s="100"/>
      <c r="R463" s="101"/>
      <c r="S463" s="101"/>
      <c r="AA463" s="101"/>
      <c r="AB463" s="101"/>
      <c r="AJ463" s="101"/>
      <c r="AK463" s="101"/>
      <c r="AP463" s="102"/>
      <c r="AQ463" s="102"/>
      <c r="AR463" s="102"/>
      <c r="AS463" s="101"/>
      <c r="AT463" s="101"/>
    </row>
    <row r="464" customFormat="false" ht="13.5" hidden="false" customHeight="true" outlineLevel="0" collapsed="false">
      <c r="A464" s="99"/>
      <c r="B464" s="99"/>
      <c r="C464" s="99"/>
      <c r="D464" s="99"/>
      <c r="E464" s="100"/>
      <c r="R464" s="101"/>
      <c r="S464" s="101"/>
      <c r="AA464" s="101"/>
      <c r="AB464" s="101"/>
      <c r="AJ464" s="101"/>
      <c r="AK464" s="101"/>
      <c r="AP464" s="102"/>
      <c r="AQ464" s="102"/>
      <c r="AR464" s="102"/>
      <c r="AS464" s="101"/>
      <c r="AT464" s="101"/>
    </row>
    <row r="465" customFormat="false" ht="13.5" hidden="false" customHeight="true" outlineLevel="0" collapsed="false">
      <c r="A465" s="99"/>
      <c r="B465" s="99"/>
      <c r="C465" s="99"/>
      <c r="D465" s="99"/>
      <c r="E465" s="100"/>
      <c r="R465" s="101"/>
      <c r="S465" s="101"/>
      <c r="AA465" s="101"/>
      <c r="AB465" s="101"/>
      <c r="AJ465" s="101"/>
      <c r="AK465" s="101"/>
      <c r="AP465" s="102"/>
      <c r="AQ465" s="102"/>
      <c r="AR465" s="102"/>
      <c r="AS465" s="101"/>
      <c r="AT465" s="101"/>
    </row>
    <row r="466" customFormat="false" ht="13.5" hidden="false" customHeight="true" outlineLevel="0" collapsed="false">
      <c r="A466" s="99"/>
      <c r="B466" s="99"/>
      <c r="C466" s="99"/>
      <c r="D466" s="99"/>
      <c r="E466" s="100"/>
      <c r="R466" s="101"/>
      <c r="S466" s="101"/>
      <c r="AA466" s="101"/>
      <c r="AB466" s="101"/>
      <c r="AJ466" s="101"/>
      <c r="AK466" s="101"/>
      <c r="AP466" s="102"/>
      <c r="AQ466" s="102"/>
      <c r="AR466" s="102"/>
      <c r="AS466" s="101"/>
      <c r="AT466" s="101"/>
    </row>
    <row r="467" customFormat="false" ht="13.5" hidden="false" customHeight="true" outlineLevel="0" collapsed="false">
      <c r="A467" s="99"/>
      <c r="B467" s="99"/>
      <c r="C467" s="99"/>
      <c r="D467" s="99"/>
      <c r="E467" s="100"/>
      <c r="R467" s="101"/>
      <c r="S467" s="101"/>
      <c r="AA467" s="101"/>
      <c r="AB467" s="101"/>
      <c r="AJ467" s="101"/>
      <c r="AK467" s="101"/>
      <c r="AP467" s="102"/>
      <c r="AQ467" s="102"/>
      <c r="AR467" s="102"/>
      <c r="AS467" s="101"/>
      <c r="AT467" s="101"/>
    </row>
    <row r="468" customFormat="false" ht="13.5" hidden="false" customHeight="true" outlineLevel="0" collapsed="false">
      <c r="A468" s="99"/>
      <c r="B468" s="99"/>
      <c r="C468" s="99"/>
      <c r="D468" s="99"/>
      <c r="E468" s="100"/>
      <c r="R468" s="101"/>
      <c r="S468" s="101"/>
      <c r="AA468" s="101"/>
      <c r="AB468" s="101"/>
      <c r="AJ468" s="101"/>
      <c r="AK468" s="101"/>
      <c r="AP468" s="102"/>
      <c r="AQ468" s="102"/>
      <c r="AR468" s="102"/>
      <c r="AS468" s="101"/>
      <c r="AT468" s="101"/>
    </row>
    <row r="469" customFormat="false" ht="13.5" hidden="false" customHeight="true" outlineLevel="0" collapsed="false">
      <c r="A469" s="99"/>
      <c r="B469" s="99"/>
      <c r="C469" s="99"/>
      <c r="D469" s="99"/>
      <c r="E469" s="100"/>
      <c r="R469" s="101"/>
      <c r="S469" s="101"/>
      <c r="AA469" s="101"/>
      <c r="AB469" s="101"/>
      <c r="AJ469" s="101"/>
      <c r="AK469" s="101"/>
      <c r="AP469" s="102"/>
      <c r="AQ469" s="102"/>
      <c r="AR469" s="102"/>
      <c r="AS469" s="101"/>
      <c r="AT469" s="101"/>
    </row>
    <row r="470" customFormat="false" ht="13.5" hidden="false" customHeight="true" outlineLevel="0" collapsed="false">
      <c r="A470" s="99"/>
      <c r="B470" s="99"/>
      <c r="C470" s="99"/>
      <c r="D470" s="99"/>
      <c r="E470" s="100"/>
      <c r="R470" s="101"/>
      <c r="S470" s="101"/>
      <c r="AA470" s="101"/>
      <c r="AB470" s="101"/>
      <c r="AJ470" s="101"/>
      <c r="AK470" s="101"/>
      <c r="AP470" s="102"/>
      <c r="AQ470" s="102"/>
      <c r="AR470" s="102"/>
      <c r="AS470" s="101"/>
      <c r="AT470" s="101"/>
    </row>
    <row r="471" customFormat="false" ht="13.5" hidden="false" customHeight="true" outlineLevel="0" collapsed="false">
      <c r="A471" s="99"/>
      <c r="B471" s="99"/>
      <c r="C471" s="99"/>
      <c r="D471" s="99"/>
      <c r="E471" s="100"/>
      <c r="R471" s="101"/>
      <c r="S471" s="101"/>
      <c r="AA471" s="101"/>
      <c r="AB471" s="101"/>
      <c r="AJ471" s="101"/>
      <c r="AK471" s="101"/>
      <c r="AP471" s="102"/>
      <c r="AQ471" s="102"/>
      <c r="AR471" s="102"/>
      <c r="AS471" s="101"/>
      <c r="AT471" s="101"/>
    </row>
    <row r="472" customFormat="false" ht="13.5" hidden="false" customHeight="true" outlineLevel="0" collapsed="false">
      <c r="A472" s="99"/>
      <c r="B472" s="99"/>
      <c r="C472" s="99"/>
      <c r="D472" s="99"/>
      <c r="E472" s="100"/>
      <c r="R472" s="101"/>
      <c r="S472" s="101"/>
      <c r="AA472" s="101"/>
      <c r="AB472" s="101"/>
      <c r="AJ472" s="101"/>
      <c r="AK472" s="101"/>
      <c r="AP472" s="102"/>
      <c r="AQ472" s="102"/>
      <c r="AR472" s="102"/>
      <c r="AS472" s="101"/>
      <c r="AT472" s="101"/>
    </row>
    <row r="473" customFormat="false" ht="13.5" hidden="false" customHeight="true" outlineLevel="0" collapsed="false">
      <c r="A473" s="99"/>
      <c r="B473" s="99"/>
      <c r="C473" s="99"/>
      <c r="D473" s="99"/>
      <c r="E473" s="100"/>
      <c r="R473" s="101"/>
      <c r="S473" s="101"/>
      <c r="AA473" s="101"/>
      <c r="AB473" s="101"/>
      <c r="AJ473" s="101"/>
      <c r="AK473" s="101"/>
      <c r="AP473" s="102"/>
      <c r="AQ473" s="102"/>
      <c r="AR473" s="102"/>
      <c r="AS473" s="101"/>
      <c r="AT473" s="101"/>
    </row>
    <row r="474" customFormat="false" ht="13.5" hidden="false" customHeight="true" outlineLevel="0" collapsed="false">
      <c r="A474" s="99"/>
      <c r="B474" s="99"/>
      <c r="C474" s="99"/>
      <c r="D474" s="99"/>
      <c r="E474" s="100"/>
      <c r="R474" s="101"/>
      <c r="S474" s="101"/>
      <c r="AA474" s="101"/>
      <c r="AB474" s="101"/>
      <c r="AJ474" s="101"/>
      <c r="AK474" s="101"/>
      <c r="AP474" s="102"/>
      <c r="AQ474" s="102"/>
      <c r="AR474" s="102"/>
      <c r="AS474" s="101"/>
      <c r="AT474" s="101"/>
    </row>
    <row r="475" customFormat="false" ht="13.5" hidden="false" customHeight="true" outlineLevel="0" collapsed="false">
      <c r="A475" s="99"/>
      <c r="B475" s="99"/>
      <c r="C475" s="99"/>
      <c r="D475" s="99"/>
      <c r="E475" s="100"/>
      <c r="R475" s="101"/>
      <c r="S475" s="101"/>
      <c r="AA475" s="101"/>
      <c r="AB475" s="101"/>
      <c r="AJ475" s="101"/>
      <c r="AK475" s="101"/>
      <c r="AP475" s="102"/>
      <c r="AQ475" s="102"/>
      <c r="AR475" s="102"/>
      <c r="AS475" s="101"/>
      <c r="AT475" s="101"/>
    </row>
    <row r="476" customFormat="false" ht="13.5" hidden="false" customHeight="true" outlineLevel="0" collapsed="false">
      <c r="A476" s="99"/>
      <c r="B476" s="99"/>
      <c r="C476" s="99"/>
      <c r="D476" s="99"/>
      <c r="E476" s="100"/>
      <c r="R476" s="101"/>
      <c r="S476" s="101"/>
      <c r="AA476" s="101"/>
      <c r="AB476" s="101"/>
      <c r="AJ476" s="101"/>
      <c r="AK476" s="101"/>
      <c r="AP476" s="102"/>
      <c r="AQ476" s="102"/>
      <c r="AR476" s="102"/>
      <c r="AS476" s="101"/>
      <c r="AT476" s="101"/>
    </row>
    <row r="477" customFormat="false" ht="13.5" hidden="false" customHeight="true" outlineLevel="0" collapsed="false">
      <c r="A477" s="99"/>
      <c r="B477" s="99"/>
      <c r="C477" s="99"/>
      <c r="D477" s="99"/>
      <c r="E477" s="100"/>
      <c r="R477" s="101"/>
      <c r="S477" s="101"/>
      <c r="AA477" s="101"/>
      <c r="AB477" s="101"/>
      <c r="AJ477" s="101"/>
      <c r="AK477" s="101"/>
      <c r="AP477" s="102"/>
      <c r="AQ477" s="102"/>
      <c r="AR477" s="102"/>
      <c r="AS477" s="101"/>
      <c r="AT477" s="101"/>
    </row>
    <row r="478" customFormat="false" ht="13.5" hidden="false" customHeight="true" outlineLevel="0" collapsed="false">
      <c r="A478" s="99"/>
      <c r="B478" s="99"/>
      <c r="C478" s="99"/>
      <c r="D478" s="99"/>
      <c r="E478" s="100"/>
      <c r="R478" s="101"/>
      <c r="S478" s="101"/>
      <c r="AA478" s="101"/>
      <c r="AB478" s="101"/>
      <c r="AJ478" s="101"/>
      <c r="AK478" s="101"/>
      <c r="AP478" s="102"/>
      <c r="AQ478" s="102"/>
      <c r="AR478" s="102"/>
      <c r="AS478" s="101"/>
      <c r="AT478" s="101"/>
    </row>
    <row r="479" customFormat="false" ht="13.5" hidden="false" customHeight="true" outlineLevel="0" collapsed="false">
      <c r="A479" s="99"/>
      <c r="B479" s="99"/>
      <c r="C479" s="99"/>
      <c r="D479" s="99"/>
      <c r="E479" s="100"/>
      <c r="R479" s="101"/>
      <c r="S479" s="101"/>
      <c r="AA479" s="101"/>
      <c r="AB479" s="101"/>
      <c r="AJ479" s="101"/>
      <c r="AK479" s="101"/>
      <c r="AP479" s="102"/>
      <c r="AQ479" s="102"/>
      <c r="AR479" s="102"/>
      <c r="AS479" s="101"/>
      <c r="AT479" s="101"/>
    </row>
    <row r="480" customFormat="false" ht="13.5" hidden="false" customHeight="true" outlineLevel="0" collapsed="false">
      <c r="A480" s="99"/>
      <c r="B480" s="99"/>
      <c r="C480" s="99"/>
      <c r="D480" s="99"/>
      <c r="E480" s="100"/>
      <c r="R480" s="101"/>
      <c r="S480" s="101"/>
      <c r="AA480" s="101"/>
      <c r="AB480" s="101"/>
      <c r="AJ480" s="101"/>
      <c r="AK480" s="101"/>
      <c r="AP480" s="102"/>
      <c r="AQ480" s="102"/>
      <c r="AR480" s="102"/>
      <c r="AS480" s="101"/>
      <c r="AT480" s="101"/>
    </row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autoFilter ref="A6:AT6"/>
  <mergeCells count="10">
    <mergeCell ref="A1:D1"/>
    <mergeCell ref="F1:AT1"/>
    <mergeCell ref="A2:D2"/>
    <mergeCell ref="J2:J5"/>
    <mergeCell ref="S2:S5"/>
    <mergeCell ref="AB2:AB5"/>
    <mergeCell ref="AK2:AK5"/>
    <mergeCell ref="AT2:AT5"/>
    <mergeCell ref="A3:D3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0.13"/>
    <col collapsed="false" customWidth="true" hidden="false" outlineLevel="0" max="2" min="2" style="0" width="11"/>
    <col collapsed="false" customWidth="true" hidden="false" outlineLevel="0" max="3" min="3" style="0" width="23.13"/>
    <col collapsed="false" customWidth="true" hidden="false" outlineLevel="0" max="4" min="4" style="0" width="15"/>
    <col collapsed="false" customWidth="true" hidden="false" outlineLevel="0" max="5" min="5" style="0" width="38.25"/>
    <col collapsed="false" customWidth="true" hidden="false" outlineLevel="0" max="26" min="6" style="0" width="11"/>
  </cols>
  <sheetData>
    <row r="1" customFormat="false" ht="15" hidden="false" customHeight="false" outlineLevel="0" collapsed="false">
      <c r="A1" s="103" t="str">
        <f aca="false">IFERROR(__xludf.dummyfunction("QUERY('Партии'!A:G, ""SELECT A, B, F, D, G WHERE F &gt; 0 LABEL A 'Наименование товаров', B 'Ед.', F 'Количество', D 'Срок годности, до….', G 'Комментарии/Решение по распределению товаров'"")"),"#REF!")</f>
        <v>#REF!</v>
      </c>
      <c r="B1" s="103"/>
      <c r="C1" s="103"/>
      <c r="D1" s="103"/>
      <c r="E1" s="103"/>
    </row>
    <row r="2" customFormat="false" ht="15" hidden="false" customHeight="false" outlineLevel="0" collapsed="false">
      <c r="A2" s="103"/>
      <c r="B2" s="103"/>
      <c r="C2" s="104"/>
      <c r="D2" s="105"/>
      <c r="E2" s="103"/>
    </row>
    <row r="3" customFormat="false" ht="15" hidden="false" customHeight="false" outlineLevel="0" collapsed="false">
      <c r="A3" s="103"/>
      <c r="B3" s="103"/>
      <c r="C3" s="104"/>
      <c r="D3" s="105"/>
      <c r="E3" s="103"/>
    </row>
    <row r="4" customFormat="false" ht="15" hidden="false" customHeight="false" outlineLevel="0" collapsed="false">
      <c r="A4" s="103"/>
      <c r="B4" s="103"/>
      <c r="C4" s="104"/>
      <c r="D4" s="105"/>
      <c r="E4" s="103"/>
    </row>
    <row r="5" customFormat="false" ht="15" hidden="false" customHeight="false" outlineLevel="0" collapsed="false">
      <c r="A5" s="103"/>
      <c r="B5" s="103"/>
      <c r="C5" s="104"/>
      <c r="D5" s="105"/>
      <c r="E5" s="103"/>
    </row>
    <row r="6" customFormat="false" ht="15" hidden="false" customHeight="false" outlineLevel="0" collapsed="false">
      <c r="A6" s="103"/>
      <c r="B6" s="103"/>
      <c r="C6" s="104"/>
      <c r="D6" s="105"/>
      <c r="E6" s="103"/>
    </row>
    <row r="7" customFormat="false" ht="15" hidden="false" customHeight="false" outlineLevel="0" collapsed="false">
      <c r="A7" s="103"/>
      <c r="B7" s="103"/>
      <c r="C7" s="104"/>
      <c r="D7" s="105"/>
      <c r="E7" s="103"/>
    </row>
    <row r="8" customFormat="false" ht="15" hidden="false" customHeight="false" outlineLevel="0" collapsed="false">
      <c r="A8" s="103"/>
      <c r="B8" s="103"/>
      <c r="C8" s="104"/>
      <c r="D8" s="105"/>
      <c r="E8" s="103"/>
    </row>
    <row r="9" customFormat="false" ht="15" hidden="false" customHeight="false" outlineLevel="0" collapsed="false">
      <c r="A9" s="103"/>
      <c r="B9" s="103"/>
      <c r="C9" s="104"/>
      <c r="D9" s="105"/>
      <c r="E9" s="103"/>
    </row>
    <row r="10" customFormat="false" ht="15" hidden="false" customHeight="false" outlineLevel="0" collapsed="false">
      <c r="A10" s="103"/>
      <c r="B10" s="103"/>
      <c r="C10" s="104"/>
      <c r="D10" s="105"/>
      <c r="E10" s="103"/>
    </row>
    <row r="11" customFormat="false" ht="15" hidden="false" customHeight="false" outlineLevel="0" collapsed="false">
      <c r="A11" s="103"/>
      <c r="B11" s="103"/>
      <c r="C11" s="104"/>
      <c r="D11" s="105"/>
      <c r="E11" s="103"/>
    </row>
    <row r="12" customFormat="false" ht="15" hidden="false" customHeight="false" outlineLevel="0" collapsed="false">
      <c r="A12" s="103"/>
      <c r="B12" s="103"/>
      <c r="C12" s="104"/>
      <c r="D12" s="105"/>
      <c r="E12" s="103"/>
    </row>
    <row r="13" customFormat="false" ht="15" hidden="false" customHeight="false" outlineLevel="0" collapsed="false">
      <c r="A13" s="103"/>
      <c r="B13" s="103"/>
      <c r="C13" s="104"/>
      <c r="D13" s="105"/>
      <c r="E13" s="103"/>
    </row>
    <row r="14" customFormat="false" ht="15" hidden="false" customHeight="false" outlineLevel="0" collapsed="false">
      <c r="A14" s="103"/>
      <c r="B14" s="103"/>
      <c r="C14" s="104"/>
      <c r="D14" s="105"/>
      <c r="E14" s="103"/>
    </row>
    <row r="15" customFormat="false" ht="15" hidden="false" customHeight="false" outlineLevel="0" collapsed="false">
      <c r="A15" s="103"/>
      <c r="B15" s="103"/>
      <c r="C15" s="104"/>
      <c r="D15" s="105"/>
      <c r="E15" s="103"/>
    </row>
    <row r="16" customFormat="false" ht="15" hidden="false" customHeight="false" outlineLevel="0" collapsed="false">
      <c r="A16" s="103"/>
      <c r="B16" s="103"/>
      <c r="C16" s="104"/>
      <c r="D16" s="105"/>
      <c r="E16" s="103"/>
    </row>
    <row r="17" customFormat="false" ht="15" hidden="false" customHeight="false" outlineLevel="0" collapsed="false">
      <c r="A17" s="103"/>
      <c r="B17" s="103"/>
      <c r="C17" s="104"/>
      <c r="D17" s="105"/>
      <c r="E17" s="103"/>
    </row>
    <row r="18" customFormat="false" ht="15" hidden="false" customHeight="false" outlineLevel="0" collapsed="false">
      <c r="A18" s="103"/>
      <c r="B18" s="103"/>
      <c r="C18" s="104"/>
      <c r="D18" s="105"/>
      <c r="E18" s="103"/>
    </row>
    <row r="19" customFormat="false" ht="15" hidden="false" customHeight="false" outlineLevel="0" collapsed="false">
      <c r="A19" s="103"/>
      <c r="B19" s="103"/>
      <c r="C19" s="104"/>
      <c r="D19" s="105"/>
      <c r="E19" s="103"/>
    </row>
    <row r="20" customFormat="false" ht="15" hidden="false" customHeight="false" outlineLevel="0" collapsed="false">
      <c r="A20" s="103"/>
      <c r="B20" s="103"/>
      <c r="C20" s="104"/>
      <c r="D20" s="105"/>
      <c r="E20" s="103"/>
    </row>
    <row r="21" customFormat="false" ht="15.75" hidden="false" customHeight="true" outlineLevel="0" collapsed="false">
      <c r="A21" s="103"/>
      <c r="B21" s="103"/>
      <c r="C21" s="104"/>
      <c r="D21" s="105"/>
      <c r="E21" s="103"/>
    </row>
    <row r="22" customFormat="false" ht="15.75" hidden="false" customHeight="true" outlineLevel="0" collapsed="false">
      <c r="A22" s="103"/>
      <c r="B22" s="103"/>
      <c r="C22" s="104"/>
      <c r="D22" s="105"/>
      <c r="E22" s="103"/>
    </row>
    <row r="23" customFormat="false" ht="15.75" hidden="false" customHeight="true" outlineLevel="0" collapsed="false">
      <c r="A23" s="103"/>
      <c r="B23" s="103"/>
      <c r="C23" s="104"/>
      <c r="D23" s="105"/>
      <c r="E23" s="103"/>
    </row>
    <row r="24" customFormat="false" ht="15.75" hidden="false" customHeight="true" outlineLevel="0" collapsed="false">
      <c r="A24" s="103"/>
      <c r="B24" s="103"/>
      <c r="C24" s="104"/>
      <c r="D24" s="105"/>
      <c r="E24" s="103"/>
    </row>
    <row r="25" customFormat="false" ht="15.75" hidden="false" customHeight="true" outlineLevel="0" collapsed="false">
      <c r="A25" s="103"/>
      <c r="B25" s="103"/>
      <c r="C25" s="104"/>
      <c r="D25" s="105"/>
      <c r="E25" s="103"/>
    </row>
    <row r="26" customFormat="false" ht="15.75" hidden="false" customHeight="true" outlineLevel="0" collapsed="false">
      <c r="A26" s="103"/>
      <c r="B26" s="103"/>
      <c r="C26" s="104"/>
      <c r="D26" s="105"/>
      <c r="E26" s="103"/>
    </row>
    <row r="27" customFormat="false" ht="15.75" hidden="false" customHeight="true" outlineLevel="0" collapsed="false">
      <c r="A27" s="103"/>
      <c r="B27" s="103"/>
      <c r="C27" s="104"/>
      <c r="D27" s="105"/>
      <c r="E27" s="103"/>
    </row>
    <row r="28" customFormat="false" ht="15.75" hidden="false" customHeight="true" outlineLevel="0" collapsed="false">
      <c r="A28" s="103"/>
      <c r="B28" s="103"/>
      <c r="C28" s="104"/>
      <c r="D28" s="105"/>
      <c r="E28" s="103"/>
    </row>
    <row r="29" customFormat="false" ht="15.75" hidden="false" customHeight="true" outlineLevel="0" collapsed="false">
      <c r="A29" s="103"/>
      <c r="B29" s="103"/>
      <c r="C29" s="104"/>
      <c r="D29" s="105"/>
      <c r="E29" s="103"/>
    </row>
    <row r="30" customFormat="false" ht="15.75" hidden="false" customHeight="true" outlineLevel="0" collapsed="false">
      <c r="A30" s="103"/>
      <c r="B30" s="103"/>
      <c r="C30" s="104"/>
      <c r="D30" s="105"/>
      <c r="E30" s="103"/>
    </row>
    <row r="31" customFormat="false" ht="15.75" hidden="false" customHeight="true" outlineLevel="0" collapsed="false">
      <c r="A31" s="103"/>
      <c r="B31" s="103"/>
      <c r="C31" s="104"/>
      <c r="D31" s="105"/>
      <c r="E31" s="103"/>
    </row>
    <row r="32" customFormat="false" ht="15.75" hidden="false" customHeight="true" outlineLevel="0" collapsed="false">
      <c r="A32" s="103"/>
      <c r="B32" s="103"/>
      <c r="C32" s="104"/>
      <c r="D32" s="105"/>
      <c r="E32" s="103"/>
    </row>
    <row r="33" customFormat="false" ht="15.75" hidden="false" customHeight="true" outlineLevel="0" collapsed="false">
      <c r="A33" s="103"/>
      <c r="B33" s="103"/>
      <c r="C33" s="104"/>
      <c r="D33" s="105"/>
      <c r="E33" s="103"/>
    </row>
    <row r="34" customFormat="false" ht="15.75" hidden="false" customHeight="true" outlineLevel="0" collapsed="false">
      <c r="A34" s="103"/>
      <c r="B34" s="103"/>
      <c r="C34" s="104"/>
      <c r="D34" s="105"/>
      <c r="E34" s="103"/>
    </row>
    <row r="35" customFormat="false" ht="15.75" hidden="false" customHeight="true" outlineLevel="0" collapsed="false">
      <c r="A35" s="103"/>
      <c r="B35" s="103"/>
      <c r="C35" s="104"/>
      <c r="D35" s="105"/>
      <c r="E35" s="103"/>
    </row>
    <row r="36" customFormat="false" ht="15.75" hidden="false" customHeight="true" outlineLevel="0" collapsed="false">
      <c r="A36" s="103"/>
      <c r="B36" s="103"/>
      <c r="C36" s="104"/>
      <c r="D36" s="105"/>
      <c r="E36" s="103"/>
    </row>
    <row r="37" customFormat="false" ht="15.75" hidden="false" customHeight="true" outlineLevel="0" collapsed="false">
      <c r="A37" s="103"/>
      <c r="B37" s="103"/>
      <c r="C37" s="104"/>
      <c r="D37" s="105"/>
      <c r="E37" s="103"/>
    </row>
    <row r="38" customFormat="false" ht="15.75" hidden="false" customHeight="true" outlineLevel="0" collapsed="false">
      <c r="A38" s="103"/>
      <c r="B38" s="103"/>
      <c r="C38" s="104"/>
      <c r="D38" s="105"/>
      <c r="E38" s="103"/>
    </row>
    <row r="39" customFormat="false" ht="15.75" hidden="false" customHeight="true" outlineLevel="0" collapsed="false">
      <c r="A39" s="103"/>
      <c r="B39" s="103"/>
      <c r="C39" s="104"/>
      <c r="D39" s="105"/>
      <c r="E39" s="103"/>
    </row>
    <row r="40" customFormat="false" ht="15.75" hidden="false" customHeight="true" outlineLevel="0" collapsed="false">
      <c r="A40" s="103"/>
      <c r="B40" s="103"/>
      <c r="C40" s="104"/>
      <c r="D40" s="105"/>
      <c r="E40" s="103"/>
    </row>
    <row r="41" customFormat="false" ht="15.75" hidden="false" customHeight="true" outlineLevel="0" collapsed="false">
      <c r="A41" s="103"/>
      <c r="B41" s="103"/>
      <c r="C41" s="104"/>
      <c r="D41" s="105"/>
      <c r="E41" s="103"/>
    </row>
    <row r="42" customFormat="false" ht="15.75" hidden="false" customHeight="true" outlineLevel="0" collapsed="false">
      <c r="A42" s="103"/>
      <c r="B42" s="103"/>
      <c r="C42" s="104"/>
      <c r="D42" s="105"/>
      <c r="E42" s="103"/>
    </row>
    <row r="43" customFormat="false" ht="15.75" hidden="false" customHeight="true" outlineLevel="0" collapsed="false">
      <c r="A43" s="103"/>
      <c r="B43" s="103"/>
      <c r="C43" s="104"/>
      <c r="D43" s="105"/>
      <c r="E43" s="103"/>
    </row>
    <row r="44" customFormat="false" ht="15.75" hidden="false" customHeight="true" outlineLevel="0" collapsed="false">
      <c r="A44" s="103"/>
      <c r="B44" s="103"/>
      <c r="C44" s="104"/>
      <c r="D44" s="105"/>
      <c r="E44" s="103"/>
    </row>
    <row r="45" customFormat="false" ht="15.75" hidden="false" customHeight="true" outlineLevel="0" collapsed="false">
      <c r="A45" s="103"/>
      <c r="B45" s="103"/>
      <c r="C45" s="104"/>
      <c r="D45" s="105"/>
      <c r="E45" s="103"/>
    </row>
    <row r="46" customFormat="false" ht="15.75" hidden="false" customHeight="true" outlineLevel="0" collapsed="false">
      <c r="A46" s="103"/>
      <c r="B46" s="103"/>
      <c r="C46" s="104"/>
      <c r="D46" s="105"/>
      <c r="E46" s="103"/>
    </row>
    <row r="47" customFormat="false" ht="15.75" hidden="false" customHeight="true" outlineLevel="0" collapsed="false">
      <c r="A47" s="103"/>
      <c r="B47" s="103"/>
      <c r="C47" s="104"/>
      <c r="D47" s="105"/>
      <c r="E47" s="103"/>
    </row>
    <row r="48" customFormat="false" ht="15.75" hidden="false" customHeight="true" outlineLevel="0" collapsed="false">
      <c r="A48" s="103"/>
      <c r="B48" s="103"/>
      <c r="C48" s="104"/>
      <c r="D48" s="105"/>
      <c r="E48" s="103"/>
    </row>
    <row r="49" customFormat="false" ht="15.75" hidden="false" customHeight="true" outlineLevel="0" collapsed="false">
      <c r="A49" s="103"/>
      <c r="B49" s="103"/>
      <c r="C49" s="104"/>
      <c r="D49" s="105"/>
      <c r="E49" s="103"/>
    </row>
    <row r="50" customFormat="false" ht="15.75" hidden="false" customHeight="true" outlineLevel="0" collapsed="false">
      <c r="A50" s="103"/>
      <c r="B50" s="103"/>
      <c r="C50" s="104"/>
      <c r="D50" s="105"/>
      <c r="E50" s="103"/>
    </row>
    <row r="51" customFormat="false" ht="15.75" hidden="false" customHeight="true" outlineLevel="0" collapsed="false">
      <c r="A51" s="103"/>
      <c r="B51" s="103"/>
      <c r="C51" s="104"/>
      <c r="D51" s="105"/>
      <c r="E51" s="103"/>
    </row>
    <row r="52" customFormat="false" ht="15.75" hidden="false" customHeight="true" outlineLevel="0" collapsed="false">
      <c r="A52" s="103"/>
      <c r="B52" s="103"/>
      <c r="C52" s="104"/>
      <c r="D52" s="105"/>
      <c r="E52" s="103"/>
    </row>
    <row r="53" customFormat="false" ht="15.75" hidden="false" customHeight="true" outlineLevel="0" collapsed="false">
      <c r="A53" s="103"/>
      <c r="B53" s="103"/>
      <c r="C53" s="104"/>
      <c r="D53" s="105"/>
      <c r="E53" s="103"/>
    </row>
    <row r="54" customFormat="false" ht="15.75" hidden="false" customHeight="true" outlineLevel="0" collapsed="false">
      <c r="A54" s="103"/>
      <c r="B54" s="103"/>
      <c r="C54" s="104"/>
      <c r="D54" s="105"/>
      <c r="E54" s="103"/>
    </row>
    <row r="55" customFormat="false" ht="15.75" hidden="false" customHeight="true" outlineLevel="0" collapsed="false">
      <c r="A55" s="103"/>
      <c r="B55" s="103"/>
      <c r="C55" s="104"/>
      <c r="D55" s="105"/>
      <c r="E55" s="103"/>
    </row>
    <row r="56" customFormat="false" ht="15.75" hidden="false" customHeight="true" outlineLevel="0" collapsed="false">
      <c r="A56" s="103"/>
      <c r="B56" s="103"/>
      <c r="C56" s="104"/>
      <c r="D56" s="105"/>
      <c r="E56" s="103"/>
    </row>
    <row r="57" customFormat="false" ht="15.75" hidden="false" customHeight="true" outlineLevel="0" collapsed="false">
      <c r="A57" s="103"/>
      <c r="B57" s="103"/>
      <c r="C57" s="104"/>
      <c r="D57" s="105"/>
      <c r="E57" s="103"/>
    </row>
    <row r="58" customFormat="false" ht="15.75" hidden="false" customHeight="true" outlineLevel="0" collapsed="false">
      <c r="A58" s="103"/>
      <c r="B58" s="103"/>
      <c r="C58" s="104"/>
      <c r="D58" s="105"/>
      <c r="E58" s="103"/>
    </row>
    <row r="59" customFormat="false" ht="15.75" hidden="false" customHeight="true" outlineLevel="0" collapsed="false">
      <c r="A59" s="103"/>
      <c r="B59" s="103"/>
      <c r="C59" s="104"/>
      <c r="D59" s="105"/>
      <c r="E59" s="103"/>
    </row>
    <row r="60" customFormat="false" ht="15.75" hidden="false" customHeight="true" outlineLevel="0" collapsed="false">
      <c r="A60" s="103"/>
      <c r="B60" s="103"/>
      <c r="C60" s="104"/>
      <c r="D60" s="105"/>
      <c r="E60" s="103"/>
    </row>
    <row r="61" customFormat="false" ht="15.75" hidden="false" customHeight="true" outlineLevel="0" collapsed="false">
      <c r="A61" s="103"/>
      <c r="B61" s="103"/>
      <c r="C61" s="104"/>
      <c r="D61" s="105"/>
      <c r="E61" s="103"/>
    </row>
    <row r="62" customFormat="false" ht="15.75" hidden="false" customHeight="true" outlineLevel="0" collapsed="false">
      <c r="A62" s="103"/>
      <c r="B62" s="103"/>
      <c r="C62" s="104"/>
      <c r="D62" s="105"/>
      <c r="E62" s="103"/>
    </row>
    <row r="63" customFormat="false" ht="15.75" hidden="false" customHeight="true" outlineLevel="0" collapsed="false">
      <c r="A63" s="103"/>
      <c r="B63" s="103"/>
      <c r="C63" s="104"/>
      <c r="D63" s="105"/>
      <c r="E63" s="103"/>
    </row>
    <row r="64" customFormat="false" ht="15.75" hidden="false" customHeight="true" outlineLevel="0" collapsed="false">
      <c r="A64" s="103"/>
      <c r="B64" s="103"/>
      <c r="C64" s="104"/>
      <c r="D64" s="105"/>
      <c r="E64" s="103"/>
    </row>
    <row r="65" customFormat="false" ht="15.75" hidden="false" customHeight="true" outlineLevel="0" collapsed="false">
      <c r="A65" s="103"/>
      <c r="B65" s="103"/>
      <c r="C65" s="104"/>
      <c r="D65" s="105"/>
      <c r="E65" s="103"/>
    </row>
    <row r="66" customFormat="false" ht="15.75" hidden="false" customHeight="true" outlineLevel="0" collapsed="false">
      <c r="A66" s="103"/>
      <c r="B66" s="103"/>
      <c r="C66" s="104"/>
      <c r="D66" s="105"/>
      <c r="E66" s="103"/>
    </row>
    <row r="67" customFormat="false" ht="15.75" hidden="false" customHeight="true" outlineLevel="0" collapsed="false">
      <c r="A67" s="103"/>
      <c r="B67" s="103"/>
      <c r="C67" s="104"/>
      <c r="D67" s="105"/>
      <c r="E67" s="103"/>
    </row>
    <row r="68" customFormat="false" ht="15.75" hidden="false" customHeight="true" outlineLevel="0" collapsed="false">
      <c r="A68" s="103"/>
      <c r="B68" s="103"/>
      <c r="C68" s="104"/>
      <c r="D68" s="105"/>
      <c r="E68" s="103"/>
    </row>
    <row r="69" customFormat="false" ht="15.75" hidden="false" customHeight="true" outlineLevel="0" collapsed="false">
      <c r="A69" s="103"/>
      <c r="B69" s="103"/>
      <c r="C69" s="104"/>
      <c r="D69" s="105"/>
      <c r="E69" s="103"/>
    </row>
    <row r="70" customFormat="false" ht="15.75" hidden="false" customHeight="true" outlineLevel="0" collapsed="false">
      <c r="A70" s="103"/>
      <c r="B70" s="103"/>
      <c r="C70" s="104"/>
      <c r="D70" s="105"/>
      <c r="E70" s="103"/>
    </row>
    <row r="71" customFormat="false" ht="15.75" hidden="false" customHeight="true" outlineLevel="0" collapsed="false">
      <c r="A71" s="103"/>
      <c r="B71" s="103"/>
      <c r="C71" s="104"/>
      <c r="D71" s="105"/>
      <c r="E71" s="103"/>
    </row>
    <row r="72" customFormat="false" ht="15.75" hidden="false" customHeight="true" outlineLevel="0" collapsed="false">
      <c r="A72" s="103"/>
      <c r="B72" s="103"/>
      <c r="C72" s="104"/>
      <c r="D72" s="105"/>
      <c r="E72" s="103"/>
    </row>
    <row r="73" customFormat="false" ht="15.75" hidden="false" customHeight="true" outlineLevel="0" collapsed="false">
      <c r="A73" s="103"/>
      <c r="B73" s="103"/>
      <c r="C73" s="104"/>
      <c r="D73" s="105"/>
      <c r="E73" s="103"/>
    </row>
    <row r="74" customFormat="false" ht="15.75" hidden="false" customHeight="true" outlineLevel="0" collapsed="false">
      <c r="A74" s="103"/>
      <c r="B74" s="103"/>
      <c r="C74" s="104"/>
      <c r="D74" s="105"/>
      <c r="E74" s="103"/>
    </row>
    <row r="75" customFormat="false" ht="15.75" hidden="false" customHeight="true" outlineLevel="0" collapsed="false">
      <c r="A75" s="103"/>
      <c r="B75" s="103"/>
      <c r="C75" s="104"/>
      <c r="D75" s="105"/>
      <c r="E75" s="103"/>
    </row>
    <row r="76" customFormat="false" ht="15.75" hidden="false" customHeight="true" outlineLevel="0" collapsed="false">
      <c r="A76" s="103"/>
      <c r="B76" s="103"/>
      <c r="C76" s="104"/>
      <c r="D76" s="105"/>
      <c r="E76" s="103"/>
    </row>
    <row r="77" customFormat="false" ht="15.75" hidden="false" customHeight="true" outlineLevel="0" collapsed="false">
      <c r="A77" s="103"/>
      <c r="B77" s="103"/>
      <c r="C77" s="104"/>
      <c r="D77" s="105"/>
      <c r="E77" s="103"/>
    </row>
    <row r="78" customFormat="false" ht="15.75" hidden="false" customHeight="true" outlineLevel="0" collapsed="false">
      <c r="A78" s="103"/>
      <c r="B78" s="103"/>
      <c r="C78" s="104"/>
      <c r="D78" s="105"/>
      <c r="E78" s="103"/>
    </row>
    <row r="79" customFormat="false" ht="15.75" hidden="false" customHeight="true" outlineLevel="0" collapsed="false">
      <c r="A79" s="103"/>
      <c r="B79" s="103"/>
      <c r="C79" s="104"/>
      <c r="D79" s="105"/>
      <c r="E79" s="103"/>
    </row>
    <row r="80" customFormat="false" ht="15.75" hidden="false" customHeight="true" outlineLevel="0" collapsed="false">
      <c r="A80" s="103"/>
      <c r="B80" s="103"/>
      <c r="C80" s="104"/>
      <c r="D80" s="105"/>
      <c r="E80" s="103"/>
    </row>
    <row r="81" customFormat="false" ht="15.75" hidden="false" customHeight="true" outlineLevel="0" collapsed="false">
      <c r="A81" s="103"/>
      <c r="B81" s="103"/>
      <c r="C81" s="104"/>
      <c r="D81" s="105"/>
      <c r="E81" s="103"/>
    </row>
    <row r="82" customFormat="false" ht="15.75" hidden="false" customHeight="true" outlineLevel="0" collapsed="false">
      <c r="A82" s="103"/>
      <c r="B82" s="103"/>
      <c r="C82" s="104"/>
      <c r="D82" s="105"/>
      <c r="E82" s="103"/>
    </row>
    <row r="83" customFormat="false" ht="15.75" hidden="false" customHeight="true" outlineLevel="0" collapsed="false">
      <c r="A83" s="103"/>
      <c r="B83" s="103"/>
      <c r="C83" s="104"/>
      <c r="D83" s="105"/>
      <c r="E83" s="103"/>
    </row>
    <row r="84" customFormat="false" ht="15.75" hidden="false" customHeight="true" outlineLevel="0" collapsed="false">
      <c r="A84" s="103"/>
      <c r="B84" s="103"/>
      <c r="C84" s="104"/>
      <c r="D84" s="105"/>
      <c r="E84" s="103"/>
    </row>
    <row r="85" customFormat="false" ht="15.75" hidden="false" customHeight="true" outlineLevel="0" collapsed="false">
      <c r="A85" s="103"/>
      <c r="B85" s="103"/>
      <c r="C85" s="104"/>
      <c r="D85" s="105"/>
      <c r="E85" s="103"/>
    </row>
    <row r="86" customFormat="false" ht="15.75" hidden="false" customHeight="true" outlineLevel="0" collapsed="false">
      <c r="A86" s="103"/>
      <c r="B86" s="103"/>
      <c r="C86" s="104"/>
      <c r="D86" s="105"/>
      <c r="E86" s="103"/>
    </row>
    <row r="87" customFormat="false" ht="15.75" hidden="false" customHeight="true" outlineLevel="0" collapsed="false">
      <c r="A87" s="103"/>
      <c r="B87" s="103"/>
      <c r="C87" s="104"/>
      <c r="D87" s="105"/>
      <c r="E87" s="103"/>
    </row>
    <row r="88" customFormat="false" ht="15.75" hidden="false" customHeight="true" outlineLevel="0" collapsed="false">
      <c r="A88" s="103"/>
      <c r="B88" s="103"/>
      <c r="C88" s="104"/>
      <c r="D88" s="105"/>
      <c r="E88" s="103"/>
    </row>
    <row r="89" customFormat="false" ht="15.75" hidden="false" customHeight="true" outlineLevel="0" collapsed="false">
      <c r="A89" s="103"/>
      <c r="B89" s="103"/>
      <c r="C89" s="104"/>
      <c r="D89" s="105"/>
      <c r="E89" s="103"/>
    </row>
    <row r="90" customFormat="false" ht="15.75" hidden="false" customHeight="true" outlineLevel="0" collapsed="false">
      <c r="A90" s="103"/>
      <c r="B90" s="103"/>
      <c r="C90" s="104"/>
      <c r="D90" s="105"/>
      <c r="E90" s="103"/>
    </row>
    <row r="91" customFormat="false" ht="15.75" hidden="false" customHeight="true" outlineLevel="0" collapsed="false">
      <c r="A91" s="103"/>
      <c r="B91" s="103"/>
      <c r="C91" s="104"/>
      <c r="D91" s="105"/>
      <c r="E91" s="103"/>
    </row>
    <row r="92" customFormat="false" ht="15.75" hidden="false" customHeight="true" outlineLevel="0" collapsed="false">
      <c r="A92" s="103"/>
      <c r="B92" s="103"/>
      <c r="C92" s="104"/>
      <c r="D92" s="105"/>
      <c r="E92" s="103"/>
    </row>
    <row r="93" customFormat="false" ht="15.75" hidden="false" customHeight="true" outlineLevel="0" collapsed="false">
      <c r="A93" s="103"/>
      <c r="B93" s="103"/>
      <c r="C93" s="104"/>
      <c r="D93" s="105"/>
      <c r="E93" s="103"/>
    </row>
    <row r="94" customFormat="false" ht="15.75" hidden="false" customHeight="true" outlineLevel="0" collapsed="false">
      <c r="A94" s="103"/>
      <c r="B94" s="103"/>
      <c r="C94" s="104"/>
      <c r="D94" s="105"/>
      <c r="E94" s="103"/>
    </row>
    <row r="95" customFormat="false" ht="15.75" hidden="false" customHeight="true" outlineLevel="0" collapsed="false">
      <c r="A95" s="103"/>
      <c r="B95" s="103"/>
      <c r="C95" s="104"/>
      <c r="D95" s="105"/>
      <c r="E95" s="103"/>
    </row>
    <row r="96" customFormat="false" ht="15.75" hidden="false" customHeight="true" outlineLevel="0" collapsed="false">
      <c r="A96" s="103"/>
      <c r="B96" s="103"/>
      <c r="C96" s="104"/>
      <c r="D96" s="105"/>
      <c r="E96" s="103"/>
    </row>
    <row r="97" customFormat="false" ht="15.75" hidden="false" customHeight="true" outlineLevel="0" collapsed="false">
      <c r="A97" s="103"/>
      <c r="B97" s="103"/>
      <c r="C97" s="104"/>
      <c r="D97" s="105"/>
      <c r="E97" s="103"/>
    </row>
    <row r="98" customFormat="false" ht="15.75" hidden="false" customHeight="true" outlineLevel="0" collapsed="false">
      <c r="A98" s="103"/>
      <c r="B98" s="103"/>
      <c r="C98" s="104"/>
      <c r="D98" s="105"/>
      <c r="E98" s="103"/>
    </row>
    <row r="99" customFormat="false" ht="15.75" hidden="false" customHeight="true" outlineLevel="0" collapsed="false">
      <c r="A99" s="103"/>
      <c r="B99" s="103"/>
      <c r="C99" s="104"/>
      <c r="D99" s="105"/>
      <c r="E99" s="103"/>
    </row>
    <row r="100" customFormat="false" ht="15.75" hidden="false" customHeight="true" outlineLevel="0" collapsed="false">
      <c r="A100" s="103"/>
      <c r="B100" s="103"/>
      <c r="C100" s="104"/>
      <c r="D100" s="105"/>
      <c r="E100" s="103"/>
    </row>
    <row r="101" customFormat="false" ht="15.75" hidden="false" customHeight="true" outlineLevel="0" collapsed="false">
      <c r="A101" s="103"/>
      <c r="B101" s="103"/>
      <c r="C101" s="104"/>
      <c r="D101" s="105"/>
      <c r="E101" s="103"/>
    </row>
    <row r="102" customFormat="false" ht="15.75" hidden="false" customHeight="true" outlineLevel="0" collapsed="false">
      <c r="A102" s="103"/>
      <c r="B102" s="103"/>
      <c r="C102" s="104"/>
      <c r="D102" s="105"/>
      <c r="E102" s="103"/>
    </row>
    <row r="103" customFormat="false" ht="15.75" hidden="false" customHeight="true" outlineLevel="0" collapsed="false">
      <c r="A103" s="103"/>
      <c r="B103" s="103"/>
      <c r="C103" s="104"/>
      <c r="D103" s="105"/>
      <c r="E103" s="103"/>
    </row>
    <row r="104" customFormat="false" ht="15.75" hidden="false" customHeight="true" outlineLevel="0" collapsed="false">
      <c r="A104" s="103"/>
      <c r="B104" s="103"/>
      <c r="C104" s="104"/>
      <c r="D104" s="105"/>
      <c r="E104" s="103"/>
    </row>
    <row r="105" customFormat="false" ht="15.75" hidden="false" customHeight="true" outlineLevel="0" collapsed="false">
      <c r="A105" s="103"/>
      <c r="B105" s="103"/>
      <c r="C105" s="104"/>
      <c r="D105" s="105"/>
      <c r="E105" s="103"/>
    </row>
    <row r="106" customFormat="false" ht="15.75" hidden="false" customHeight="true" outlineLevel="0" collapsed="false">
      <c r="A106" s="103"/>
      <c r="B106" s="103"/>
      <c r="C106" s="104"/>
      <c r="D106" s="105"/>
      <c r="E106" s="103"/>
    </row>
    <row r="107" customFormat="false" ht="15.75" hidden="false" customHeight="true" outlineLevel="0" collapsed="false">
      <c r="A107" s="103"/>
      <c r="B107" s="103"/>
      <c r="C107" s="104"/>
      <c r="D107" s="105"/>
      <c r="E107" s="103"/>
    </row>
    <row r="108" customFormat="false" ht="15.75" hidden="false" customHeight="true" outlineLevel="0" collapsed="false">
      <c r="A108" s="103"/>
      <c r="B108" s="103"/>
      <c r="C108" s="104"/>
      <c r="D108" s="105"/>
      <c r="E108" s="103"/>
    </row>
    <row r="109" customFormat="false" ht="15.75" hidden="false" customHeight="true" outlineLevel="0" collapsed="false">
      <c r="A109" s="103"/>
      <c r="B109" s="103"/>
      <c r="C109" s="104"/>
      <c r="D109" s="105"/>
      <c r="E109" s="103"/>
    </row>
    <row r="110" customFormat="false" ht="15.75" hidden="false" customHeight="true" outlineLevel="0" collapsed="false">
      <c r="A110" s="103"/>
      <c r="B110" s="103"/>
      <c r="C110" s="104"/>
      <c r="D110" s="105"/>
      <c r="E110" s="103"/>
    </row>
    <row r="111" customFormat="false" ht="15.75" hidden="false" customHeight="true" outlineLevel="0" collapsed="false">
      <c r="A111" s="103"/>
      <c r="B111" s="103"/>
      <c r="C111" s="104"/>
      <c r="D111" s="105"/>
      <c r="E111" s="103"/>
    </row>
    <row r="112" customFormat="false" ht="15.75" hidden="false" customHeight="true" outlineLevel="0" collapsed="false">
      <c r="A112" s="103"/>
      <c r="B112" s="103"/>
      <c r="C112" s="104"/>
      <c r="D112" s="105"/>
      <c r="E112" s="103"/>
    </row>
    <row r="113" customFormat="false" ht="15.75" hidden="false" customHeight="true" outlineLevel="0" collapsed="false">
      <c r="A113" s="103"/>
      <c r="B113" s="103"/>
      <c r="C113" s="104"/>
      <c r="D113" s="105"/>
      <c r="E113" s="103"/>
    </row>
    <row r="114" customFormat="false" ht="15.75" hidden="false" customHeight="true" outlineLevel="0" collapsed="false">
      <c r="A114" s="103"/>
      <c r="B114" s="103"/>
      <c r="C114" s="104"/>
      <c r="D114" s="105"/>
      <c r="E114" s="103"/>
    </row>
    <row r="115" customFormat="false" ht="15.75" hidden="false" customHeight="true" outlineLevel="0" collapsed="false">
      <c r="A115" s="103"/>
      <c r="B115" s="103"/>
      <c r="C115" s="104"/>
      <c r="D115" s="105"/>
      <c r="E115" s="103"/>
    </row>
    <row r="116" customFormat="false" ht="15.75" hidden="false" customHeight="true" outlineLevel="0" collapsed="false">
      <c r="A116" s="103"/>
      <c r="B116" s="103"/>
      <c r="C116" s="104"/>
      <c r="D116" s="105"/>
      <c r="E116" s="103"/>
    </row>
    <row r="117" customFormat="false" ht="15.75" hidden="false" customHeight="true" outlineLevel="0" collapsed="false">
      <c r="A117" s="103"/>
      <c r="B117" s="103"/>
      <c r="C117" s="104"/>
      <c r="D117" s="105"/>
      <c r="E117" s="103"/>
    </row>
    <row r="118" customFormat="false" ht="15.75" hidden="false" customHeight="true" outlineLevel="0" collapsed="false">
      <c r="A118" s="103"/>
      <c r="B118" s="103"/>
      <c r="C118" s="104"/>
      <c r="D118" s="105"/>
      <c r="E118" s="103"/>
    </row>
    <row r="119" customFormat="false" ht="15.75" hidden="false" customHeight="true" outlineLevel="0" collapsed="false">
      <c r="A119" s="103"/>
      <c r="B119" s="103"/>
      <c r="C119" s="104"/>
      <c r="D119" s="105"/>
      <c r="E119" s="103"/>
    </row>
    <row r="120" customFormat="false" ht="15.75" hidden="false" customHeight="true" outlineLevel="0" collapsed="false">
      <c r="A120" s="103"/>
      <c r="B120" s="103"/>
      <c r="C120" s="104"/>
      <c r="D120" s="105"/>
      <c r="E120" s="103"/>
    </row>
    <row r="121" customFormat="false" ht="15.75" hidden="false" customHeight="true" outlineLevel="0" collapsed="false">
      <c r="A121" s="103"/>
      <c r="B121" s="103"/>
      <c r="C121" s="104"/>
      <c r="D121" s="105"/>
      <c r="E121" s="103"/>
    </row>
    <row r="122" customFormat="false" ht="15.75" hidden="false" customHeight="true" outlineLevel="0" collapsed="false">
      <c r="A122" s="103"/>
      <c r="B122" s="103"/>
      <c r="C122" s="104"/>
      <c r="D122" s="105"/>
      <c r="E122" s="103"/>
    </row>
    <row r="123" customFormat="false" ht="15.75" hidden="false" customHeight="true" outlineLevel="0" collapsed="false">
      <c r="A123" s="103"/>
      <c r="B123" s="103"/>
      <c r="C123" s="104"/>
      <c r="D123" s="105"/>
      <c r="E123" s="103"/>
    </row>
    <row r="124" customFormat="false" ht="15.75" hidden="false" customHeight="true" outlineLevel="0" collapsed="false">
      <c r="A124" s="103"/>
      <c r="B124" s="103"/>
      <c r="C124" s="104"/>
      <c r="D124" s="105"/>
      <c r="E124" s="103"/>
    </row>
    <row r="125" customFormat="false" ht="15.75" hidden="false" customHeight="true" outlineLevel="0" collapsed="false">
      <c r="A125" s="103"/>
      <c r="B125" s="103"/>
      <c r="C125" s="104"/>
      <c r="D125" s="105"/>
      <c r="E125" s="103"/>
    </row>
    <row r="126" customFormat="false" ht="15.75" hidden="false" customHeight="true" outlineLevel="0" collapsed="false">
      <c r="A126" s="103"/>
      <c r="B126" s="103"/>
      <c r="C126" s="104"/>
      <c r="D126" s="105"/>
      <c r="E126" s="103"/>
    </row>
    <row r="127" customFormat="false" ht="15.75" hidden="false" customHeight="true" outlineLevel="0" collapsed="false">
      <c r="A127" s="103"/>
      <c r="B127" s="103"/>
      <c r="C127" s="104"/>
      <c r="D127" s="105"/>
      <c r="E127" s="103"/>
    </row>
    <row r="128" customFormat="false" ht="15.75" hidden="false" customHeight="true" outlineLevel="0" collapsed="false">
      <c r="A128" s="103"/>
      <c r="B128" s="103"/>
      <c r="C128" s="104"/>
      <c r="D128" s="105"/>
      <c r="E128" s="103"/>
    </row>
    <row r="129" customFormat="false" ht="15.75" hidden="false" customHeight="true" outlineLevel="0" collapsed="false">
      <c r="A129" s="103"/>
      <c r="B129" s="103"/>
      <c r="C129" s="104"/>
      <c r="D129" s="105"/>
      <c r="E129" s="103"/>
    </row>
    <row r="130" customFormat="false" ht="15.75" hidden="false" customHeight="true" outlineLevel="0" collapsed="false">
      <c r="A130" s="103"/>
      <c r="B130" s="103"/>
      <c r="C130" s="104"/>
      <c r="D130" s="105"/>
      <c r="E130" s="103"/>
    </row>
    <row r="131" customFormat="false" ht="15.75" hidden="false" customHeight="true" outlineLevel="0" collapsed="false">
      <c r="A131" s="103"/>
      <c r="B131" s="103"/>
      <c r="C131" s="104"/>
      <c r="D131" s="105"/>
      <c r="E131" s="103"/>
    </row>
    <row r="132" customFormat="false" ht="15.75" hidden="false" customHeight="true" outlineLevel="0" collapsed="false">
      <c r="A132" s="103"/>
      <c r="B132" s="103"/>
      <c r="C132" s="104"/>
      <c r="D132" s="105"/>
      <c r="E132" s="103"/>
    </row>
    <row r="133" customFormat="false" ht="15.75" hidden="false" customHeight="true" outlineLevel="0" collapsed="false">
      <c r="A133" s="103"/>
      <c r="B133" s="103"/>
      <c r="C133" s="104"/>
      <c r="D133" s="105"/>
      <c r="E133" s="103"/>
    </row>
    <row r="134" customFormat="false" ht="15.75" hidden="false" customHeight="true" outlineLevel="0" collapsed="false">
      <c r="A134" s="103"/>
      <c r="B134" s="103"/>
      <c r="C134" s="104"/>
      <c r="D134" s="105"/>
      <c r="E134" s="103"/>
    </row>
    <row r="135" customFormat="false" ht="15.75" hidden="false" customHeight="true" outlineLevel="0" collapsed="false">
      <c r="A135" s="103"/>
      <c r="B135" s="103"/>
      <c r="C135" s="104"/>
      <c r="D135" s="105"/>
      <c r="E135" s="103"/>
    </row>
    <row r="136" customFormat="false" ht="15.75" hidden="false" customHeight="true" outlineLevel="0" collapsed="false">
      <c r="A136" s="103"/>
      <c r="B136" s="103"/>
      <c r="C136" s="104"/>
      <c r="D136" s="105"/>
      <c r="E136" s="103"/>
    </row>
    <row r="137" customFormat="false" ht="15.75" hidden="false" customHeight="true" outlineLevel="0" collapsed="false">
      <c r="A137" s="103"/>
      <c r="B137" s="103"/>
      <c r="C137" s="104"/>
      <c r="D137" s="105"/>
      <c r="E137" s="103"/>
    </row>
    <row r="138" customFormat="false" ht="15.75" hidden="false" customHeight="true" outlineLevel="0" collapsed="false">
      <c r="A138" s="103"/>
      <c r="B138" s="103"/>
      <c r="C138" s="104"/>
      <c r="D138" s="105"/>
      <c r="E138" s="103"/>
    </row>
    <row r="139" customFormat="false" ht="15.75" hidden="false" customHeight="true" outlineLevel="0" collapsed="false">
      <c r="A139" s="103"/>
      <c r="B139" s="103"/>
      <c r="C139" s="104"/>
      <c r="D139" s="105"/>
      <c r="E139" s="103"/>
    </row>
    <row r="140" customFormat="false" ht="15.75" hidden="false" customHeight="true" outlineLevel="0" collapsed="false">
      <c r="A140" s="103"/>
      <c r="B140" s="103"/>
      <c r="C140" s="104"/>
      <c r="D140" s="105"/>
      <c r="E140" s="103"/>
    </row>
    <row r="141" customFormat="false" ht="15.75" hidden="false" customHeight="true" outlineLevel="0" collapsed="false">
      <c r="A141" s="103"/>
      <c r="B141" s="103"/>
      <c r="C141" s="104"/>
      <c r="D141" s="105"/>
      <c r="E141" s="103"/>
    </row>
    <row r="142" customFormat="false" ht="15.75" hidden="false" customHeight="true" outlineLevel="0" collapsed="false">
      <c r="A142" s="103"/>
      <c r="B142" s="103"/>
      <c r="C142" s="104"/>
      <c r="D142" s="105"/>
      <c r="E142" s="103"/>
    </row>
    <row r="143" customFormat="false" ht="15.75" hidden="false" customHeight="true" outlineLevel="0" collapsed="false">
      <c r="A143" s="103"/>
      <c r="B143" s="103"/>
      <c r="C143" s="104"/>
      <c r="D143" s="105"/>
      <c r="E143" s="103"/>
    </row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LibreOffice/26.2.4.2$Linux_X86_64 LibreOffice_project/c44d3140fc62714965bf5d98735e0d79ba4b1ebd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2026-06-14T22:09:00Z</dcterms:modified>
  <cp:revision>1</cp:revision>
  <dc:subject/>
  <dc:title/>
</cp:coreProperties>
</file>